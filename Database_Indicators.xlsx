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LLER TITULACION\2023\"/>
    </mc:Choice>
  </mc:AlternateContent>
  <xr:revisionPtr revIDLastSave="0" documentId="13_ncr:1_{7F543CDB-9A2C-4B29-823C-DB5734DB2CAA}" xr6:coauthVersionLast="45" xr6:coauthVersionMax="45" xr10:uidLastSave="{00000000-0000-0000-0000-000000000000}"/>
  <bookViews>
    <workbookView xWindow="-120" yWindow="-120" windowWidth="20730" windowHeight="11040" activeTab="1" xr2:uid="{C88BA164-B437-401C-AB22-CA8E1B254B48}"/>
  </bookViews>
  <sheets>
    <sheet name="I1" sheetId="1" r:id="rId1"/>
    <sheet name="I2" sheetId="2" r:id="rId2"/>
    <sheet name="BD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3" i="3" l="1"/>
  <c r="E43" i="3"/>
  <c r="D43" i="3"/>
  <c r="C43" i="3"/>
  <c r="F42" i="3"/>
  <c r="E42" i="3"/>
  <c r="D42" i="3"/>
  <c r="C42" i="3"/>
  <c r="F41" i="3"/>
  <c r="E41" i="3"/>
  <c r="D41" i="3"/>
  <c r="C41" i="3"/>
  <c r="F40" i="3"/>
  <c r="E40" i="3"/>
  <c r="D40" i="3"/>
  <c r="C40" i="3"/>
  <c r="F39" i="3"/>
  <c r="E39" i="3"/>
  <c r="D39" i="3"/>
  <c r="C39" i="3"/>
  <c r="F38" i="3"/>
  <c r="E38" i="3"/>
  <c r="D38" i="3"/>
  <c r="C38" i="3"/>
  <c r="F37" i="3"/>
  <c r="E37" i="3"/>
  <c r="D37" i="3"/>
  <c r="C37" i="3"/>
  <c r="F36" i="3"/>
  <c r="E36" i="3"/>
  <c r="D36" i="3"/>
  <c r="C36" i="3"/>
  <c r="F35" i="3"/>
  <c r="E35" i="3"/>
  <c r="D35" i="3"/>
  <c r="C35" i="3"/>
  <c r="F34" i="3"/>
  <c r="E34" i="3"/>
  <c r="D34" i="3"/>
  <c r="C34" i="3"/>
  <c r="F33" i="3"/>
  <c r="E33" i="3"/>
  <c r="D33" i="3"/>
  <c r="C33" i="3"/>
  <c r="F32" i="3"/>
  <c r="E32" i="3"/>
  <c r="D32" i="3"/>
  <c r="C32" i="3"/>
  <c r="F31" i="3"/>
  <c r="E31" i="3"/>
  <c r="D31" i="3"/>
  <c r="C31" i="3"/>
  <c r="F30" i="3"/>
  <c r="E30" i="3"/>
  <c r="D30" i="3"/>
  <c r="C30" i="3"/>
  <c r="F29" i="3"/>
  <c r="E29" i="3"/>
  <c r="D29" i="3"/>
  <c r="C29" i="3"/>
  <c r="F28" i="3"/>
  <c r="E28" i="3"/>
  <c r="D28" i="3"/>
  <c r="C28" i="3"/>
  <c r="F27" i="3"/>
  <c r="E27" i="3"/>
  <c r="D27" i="3"/>
  <c r="C27" i="3"/>
  <c r="F26" i="3"/>
  <c r="E26" i="3"/>
  <c r="D26" i="3"/>
  <c r="C26" i="3"/>
  <c r="F25" i="3"/>
  <c r="E25" i="3"/>
  <c r="D25" i="3"/>
  <c r="C25" i="3"/>
  <c r="F24" i="3"/>
  <c r="E24" i="3"/>
  <c r="D24" i="3"/>
  <c r="C24" i="3"/>
  <c r="F23" i="3"/>
  <c r="E23" i="3"/>
  <c r="D23" i="3"/>
  <c r="C23" i="3"/>
  <c r="F22" i="3"/>
  <c r="E22" i="3"/>
  <c r="D22" i="3"/>
  <c r="C22" i="3"/>
  <c r="F21" i="3"/>
  <c r="E21" i="3"/>
  <c r="D21" i="3"/>
  <c r="C21" i="3"/>
  <c r="F20" i="3"/>
  <c r="E20" i="3"/>
  <c r="D20" i="3"/>
  <c r="C20" i="3"/>
  <c r="F19" i="3"/>
  <c r="E19" i="3"/>
  <c r="D19" i="3"/>
  <c r="C19" i="3"/>
  <c r="F18" i="3"/>
  <c r="E18" i="3"/>
  <c r="D18" i="3"/>
  <c r="C18" i="3"/>
  <c r="F17" i="3"/>
  <c r="E17" i="3"/>
  <c r="D17" i="3"/>
  <c r="C17" i="3"/>
  <c r="F16" i="3"/>
  <c r="E16" i="3"/>
  <c r="D16" i="3"/>
  <c r="C16" i="3"/>
  <c r="F15" i="3"/>
  <c r="E15" i="3"/>
  <c r="D15" i="3"/>
  <c r="C15" i="3"/>
  <c r="F14" i="3"/>
  <c r="E14" i="3"/>
  <c r="D14" i="3"/>
  <c r="C14" i="3"/>
  <c r="F13" i="3"/>
  <c r="E13" i="3"/>
  <c r="D13" i="3"/>
  <c r="C13" i="3"/>
  <c r="F12" i="3"/>
  <c r="E12" i="3"/>
  <c r="D12" i="3"/>
  <c r="C12" i="3"/>
  <c r="F11" i="3"/>
  <c r="E11" i="3"/>
  <c r="D11" i="3"/>
  <c r="C11" i="3"/>
  <c r="F10" i="3"/>
  <c r="E10" i="3"/>
  <c r="D10" i="3"/>
  <c r="C10" i="3"/>
  <c r="F9" i="3"/>
  <c r="E9" i="3"/>
  <c r="D9" i="3"/>
  <c r="C9" i="3"/>
  <c r="F8" i="3"/>
  <c r="E8" i="3"/>
  <c r="D8" i="3"/>
  <c r="C8" i="3"/>
  <c r="F7" i="3"/>
  <c r="E7" i="3"/>
  <c r="D7" i="3"/>
  <c r="C7" i="3"/>
  <c r="F6" i="3"/>
  <c r="E6" i="3"/>
  <c r="D6" i="3"/>
  <c r="C6" i="3"/>
  <c r="F5" i="3"/>
  <c r="E5" i="3"/>
  <c r="D5" i="3"/>
  <c r="C5" i="3"/>
  <c r="F4" i="3"/>
  <c r="E4" i="3"/>
  <c r="D4" i="3"/>
  <c r="C4" i="3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<sst xmlns="http://schemas.openxmlformats.org/spreadsheetml/2006/main" count="210" uniqueCount="22">
  <si>
    <t>Investigador:</t>
  </si>
  <si>
    <t>Racchumí Nima, Juan Carlos</t>
  </si>
  <si>
    <t>Proceso Observado:</t>
  </si>
  <si>
    <t>Variación del cronograma (SV)</t>
  </si>
  <si>
    <t>Pre Test</t>
  </si>
  <si>
    <t>N° Obs.</t>
  </si>
  <si>
    <t>Turno</t>
  </si>
  <si>
    <t>Fecha</t>
  </si>
  <si>
    <t>Valor ganado (EV)</t>
  </si>
  <si>
    <t>Valor planificado (PV)</t>
  </si>
  <si>
    <t>(Valor ganado) - (Valor planificado)</t>
  </si>
  <si>
    <t>M</t>
  </si>
  <si>
    <t>Variación del cronograma</t>
  </si>
  <si>
    <t>Post Test</t>
  </si>
  <si>
    <t>Índice de desempeño del costo (CPI)</t>
  </si>
  <si>
    <t>Costo Real (AC)</t>
  </si>
  <si>
    <t>Valor ganado / Costo real</t>
  </si>
  <si>
    <t>Índice de desempeño del costo</t>
  </si>
  <si>
    <t>I1PreTest</t>
  </si>
  <si>
    <t>I1PostTest</t>
  </si>
  <si>
    <t>I2PreTest</t>
  </si>
  <si>
    <t>I2PostTest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</si>
</sst>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/>
    </xf>
    <xf numFmtId="1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ALISIS%20ESTADISTI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1"/>
      <sheetName val="I2"/>
      <sheetName val="I3"/>
      <sheetName val="BD"/>
      <sheetName val="GBarras"/>
      <sheetName val="I1-GL"/>
      <sheetName val="I2-GL"/>
      <sheetName val="I3-GL"/>
    </sheetNames>
    <sheetDataSet>
      <sheetData sheetId="0">
        <row r="5">
          <cell r="F5">
            <v>-3000</v>
          </cell>
          <cell r="M5">
            <v>-750</v>
          </cell>
        </row>
        <row r="6">
          <cell r="F6">
            <v>-5600</v>
          </cell>
          <cell r="M6">
            <v>-3200</v>
          </cell>
        </row>
        <row r="7">
          <cell r="F7">
            <v>-3960</v>
          </cell>
          <cell r="M7">
            <v>-2700</v>
          </cell>
        </row>
        <row r="8">
          <cell r="F8">
            <v>-2000</v>
          </cell>
          <cell r="M8">
            <v>-1250</v>
          </cell>
        </row>
        <row r="9">
          <cell r="F9">
            <v>-4000</v>
          </cell>
          <cell r="M9">
            <v>-800</v>
          </cell>
        </row>
        <row r="10">
          <cell r="F10">
            <v>-2700</v>
          </cell>
          <cell r="M10">
            <v>-1620</v>
          </cell>
        </row>
        <row r="11">
          <cell r="F11">
            <v>-1000</v>
          </cell>
          <cell r="M11">
            <v>0</v>
          </cell>
        </row>
        <row r="12">
          <cell r="F12">
            <v>-3200</v>
          </cell>
          <cell r="M12">
            <v>-1200</v>
          </cell>
        </row>
        <row r="13">
          <cell r="F13">
            <v>-2250</v>
          </cell>
          <cell r="M13">
            <v>-2250</v>
          </cell>
        </row>
        <row r="14">
          <cell r="F14">
            <v>-1500</v>
          </cell>
          <cell r="M14">
            <v>-500</v>
          </cell>
        </row>
        <row r="15">
          <cell r="F15">
            <v>-4400</v>
          </cell>
          <cell r="M15">
            <v>-2400</v>
          </cell>
        </row>
        <row r="16">
          <cell r="F16">
            <v>-3150</v>
          </cell>
          <cell r="M16">
            <v>-1350</v>
          </cell>
        </row>
        <row r="17">
          <cell r="F17">
            <v>-1750</v>
          </cell>
          <cell r="M17">
            <v>-1000</v>
          </cell>
        </row>
        <row r="18">
          <cell r="F18">
            <v>-2400</v>
          </cell>
          <cell r="M18">
            <v>-800</v>
          </cell>
        </row>
        <row r="19">
          <cell r="F19">
            <v>-3600</v>
          </cell>
          <cell r="M19">
            <v>-2520</v>
          </cell>
        </row>
        <row r="20">
          <cell r="F20">
            <v>500</v>
          </cell>
          <cell r="M20">
            <v>750</v>
          </cell>
        </row>
        <row r="21">
          <cell r="F21">
            <v>-4400</v>
          </cell>
          <cell r="M21">
            <v>-3200</v>
          </cell>
        </row>
        <row r="22">
          <cell r="F22">
            <v>-2700</v>
          </cell>
          <cell r="M22">
            <v>-900</v>
          </cell>
        </row>
        <row r="23">
          <cell r="F23">
            <v>-500</v>
          </cell>
          <cell r="M23">
            <v>500</v>
          </cell>
        </row>
        <row r="24">
          <cell r="F24">
            <v>-3200</v>
          </cell>
          <cell r="M24">
            <v>-1600</v>
          </cell>
        </row>
        <row r="25">
          <cell r="F25">
            <v>0</v>
          </cell>
          <cell r="M25">
            <v>900</v>
          </cell>
        </row>
        <row r="26">
          <cell r="F26">
            <v>-1500</v>
          </cell>
          <cell r="M26">
            <v>-900</v>
          </cell>
        </row>
        <row r="27">
          <cell r="F27">
            <v>0</v>
          </cell>
          <cell r="M27">
            <v>1600</v>
          </cell>
        </row>
        <row r="28">
          <cell r="F28">
            <v>-3600</v>
          </cell>
          <cell r="M28">
            <v>-1800</v>
          </cell>
        </row>
        <row r="29">
          <cell r="F29">
            <v>-1000</v>
          </cell>
          <cell r="M29">
            <v>-500</v>
          </cell>
        </row>
        <row r="30">
          <cell r="F30">
            <v>-4800</v>
          </cell>
          <cell r="M30">
            <v>-2800</v>
          </cell>
        </row>
        <row r="31">
          <cell r="F31">
            <v>-5400</v>
          </cell>
          <cell r="M31">
            <v>-3150</v>
          </cell>
        </row>
        <row r="32">
          <cell r="F32">
            <v>-2000</v>
          </cell>
          <cell r="M32">
            <v>-1000</v>
          </cell>
        </row>
        <row r="33">
          <cell r="F33">
            <v>-800</v>
          </cell>
          <cell r="M33">
            <v>800</v>
          </cell>
        </row>
        <row r="34">
          <cell r="F34">
            <v>-3600</v>
          </cell>
          <cell r="M34">
            <v>-2700</v>
          </cell>
        </row>
        <row r="35">
          <cell r="F35">
            <v>-4000</v>
          </cell>
          <cell r="M35">
            <v>-2500</v>
          </cell>
        </row>
        <row r="36">
          <cell r="F36">
            <v>-5600</v>
          </cell>
          <cell r="M36">
            <v>-3200</v>
          </cell>
        </row>
        <row r="37">
          <cell r="F37">
            <v>-7200</v>
          </cell>
          <cell r="M37">
            <v>-3600</v>
          </cell>
        </row>
        <row r="38">
          <cell r="F38">
            <v>0</v>
          </cell>
          <cell r="M38">
            <v>1000</v>
          </cell>
        </row>
        <row r="39">
          <cell r="F39">
            <v>-2400</v>
          </cell>
          <cell r="M39">
            <v>-800</v>
          </cell>
        </row>
        <row r="40">
          <cell r="F40">
            <v>-900</v>
          </cell>
          <cell r="M40">
            <v>0</v>
          </cell>
        </row>
        <row r="41">
          <cell r="F41">
            <v>-3000</v>
          </cell>
          <cell r="M41">
            <v>-1750</v>
          </cell>
        </row>
        <row r="42">
          <cell r="F42">
            <v>-3360</v>
          </cell>
          <cell r="M42">
            <v>-2400</v>
          </cell>
        </row>
        <row r="43">
          <cell r="F43">
            <v>-3240</v>
          </cell>
          <cell r="M43">
            <v>-1800</v>
          </cell>
        </row>
        <row r="44">
          <cell r="F44">
            <v>-3500</v>
          </cell>
          <cell r="M44">
            <v>-2500</v>
          </cell>
        </row>
      </sheetData>
      <sheetData sheetId="1">
        <row r="5">
          <cell r="F5">
            <v>0.4</v>
          </cell>
          <cell r="M5">
            <v>0.85</v>
          </cell>
        </row>
        <row r="6">
          <cell r="F6">
            <v>0.3</v>
          </cell>
          <cell r="M6">
            <v>0.6</v>
          </cell>
        </row>
        <row r="7">
          <cell r="F7">
            <v>0.56000000000000005</v>
          </cell>
          <cell r="M7">
            <v>0.7</v>
          </cell>
        </row>
        <row r="8">
          <cell r="F8">
            <v>0.6</v>
          </cell>
          <cell r="M8">
            <v>0.75</v>
          </cell>
        </row>
        <row r="9">
          <cell r="F9">
            <v>0.5</v>
          </cell>
          <cell r="M9">
            <v>0.9</v>
          </cell>
        </row>
        <row r="10">
          <cell r="F10">
            <v>0.7</v>
          </cell>
          <cell r="M10">
            <v>0.82</v>
          </cell>
        </row>
        <row r="11">
          <cell r="F11">
            <v>0.8</v>
          </cell>
          <cell r="M11">
            <v>1</v>
          </cell>
        </row>
        <row r="12">
          <cell r="F12">
            <v>0.6</v>
          </cell>
          <cell r="M12">
            <v>0.85</v>
          </cell>
        </row>
        <row r="13">
          <cell r="F13">
            <v>0.75</v>
          </cell>
          <cell r="M13">
            <v>0.75</v>
          </cell>
        </row>
        <row r="14">
          <cell r="F14">
            <v>0.7</v>
          </cell>
          <cell r="M14">
            <v>0.9</v>
          </cell>
        </row>
        <row r="15">
          <cell r="F15">
            <v>0.45</v>
          </cell>
          <cell r="M15">
            <v>0.7</v>
          </cell>
        </row>
        <row r="16">
          <cell r="F16">
            <v>0.65</v>
          </cell>
          <cell r="M16">
            <v>0.85</v>
          </cell>
        </row>
        <row r="17">
          <cell r="F17">
            <v>0.65</v>
          </cell>
          <cell r="M17">
            <v>0.8</v>
          </cell>
        </row>
        <row r="18">
          <cell r="F18">
            <v>0.7</v>
          </cell>
          <cell r="M18">
            <v>0.9</v>
          </cell>
        </row>
        <row r="19">
          <cell r="F19">
            <v>0.6</v>
          </cell>
          <cell r="M19">
            <v>0.72</v>
          </cell>
        </row>
        <row r="20">
          <cell r="F20">
            <v>1.1000000000000001</v>
          </cell>
          <cell r="M20">
            <v>1.1499999999999999</v>
          </cell>
        </row>
        <row r="21">
          <cell r="F21">
            <v>0.45</v>
          </cell>
          <cell r="M21">
            <v>0.6</v>
          </cell>
        </row>
        <row r="22">
          <cell r="F22">
            <v>0.7</v>
          </cell>
          <cell r="M22">
            <v>0.9</v>
          </cell>
        </row>
        <row r="23">
          <cell r="F23">
            <v>0.9</v>
          </cell>
          <cell r="M23">
            <v>1.1000000000000001</v>
          </cell>
        </row>
        <row r="24">
          <cell r="F24">
            <v>0.6</v>
          </cell>
          <cell r="M24">
            <v>0.8</v>
          </cell>
        </row>
        <row r="25">
          <cell r="F25">
            <v>1</v>
          </cell>
          <cell r="M25">
            <v>1.1000000000000001</v>
          </cell>
        </row>
        <row r="26">
          <cell r="F26">
            <v>0.7</v>
          </cell>
          <cell r="M26">
            <v>0.82</v>
          </cell>
        </row>
        <row r="27">
          <cell r="F27">
            <v>1</v>
          </cell>
          <cell r="M27">
            <v>1.2</v>
          </cell>
        </row>
        <row r="28">
          <cell r="F28">
            <v>0.6</v>
          </cell>
          <cell r="M28">
            <v>0.8</v>
          </cell>
        </row>
        <row r="29">
          <cell r="F29">
            <v>0.8</v>
          </cell>
          <cell r="M29">
            <v>0.9</v>
          </cell>
        </row>
        <row r="30">
          <cell r="F30">
            <v>0.4</v>
          </cell>
          <cell r="M30">
            <v>0.65</v>
          </cell>
        </row>
        <row r="31">
          <cell r="F31">
            <v>0.4</v>
          </cell>
          <cell r="M31">
            <v>0.65</v>
          </cell>
        </row>
        <row r="32">
          <cell r="F32">
            <v>0.6</v>
          </cell>
          <cell r="M32">
            <v>0.8</v>
          </cell>
        </row>
        <row r="33">
          <cell r="F33">
            <v>0.9</v>
          </cell>
          <cell r="M33">
            <v>1.1000000000000001</v>
          </cell>
        </row>
        <row r="34">
          <cell r="F34">
            <v>0.6</v>
          </cell>
          <cell r="M34">
            <v>0.7</v>
          </cell>
        </row>
        <row r="35">
          <cell r="F35">
            <v>0.2</v>
          </cell>
          <cell r="M35">
            <v>0.5</v>
          </cell>
        </row>
        <row r="36">
          <cell r="F36">
            <v>0.3</v>
          </cell>
          <cell r="M36">
            <v>0.6</v>
          </cell>
        </row>
        <row r="37">
          <cell r="F37">
            <v>0.2</v>
          </cell>
          <cell r="M37">
            <v>0.6</v>
          </cell>
        </row>
        <row r="38">
          <cell r="F38">
            <v>1</v>
          </cell>
          <cell r="M38">
            <v>1.2</v>
          </cell>
        </row>
        <row r="39">
          <cell r="F39">
            <v>0.7</v>
          </cell>
          <cell r="M39">
            <v>0.9</v>
          </cell>
        </row>
        <row r="40">
          <cell r="F40">
            <v>0.9</v>
          </cell>
          <cell r="M40">
            <v>1</v>
          </cell>
        </row>
        <row r="41">
          <cell r="F41">
            <v>0.4</v>
          </cell>
          <cell r="M41">
            <v>0.65</v>
          </cell>
        </row>
        <row r="42">
          <cell r="F42">
            <v>0.57999999999999996</v>
          </cell>
          <cell r="M42">
            <v>0.7</v>
          </cell>
        </row>
        <row r="43">
          <cell r="F43">
            <v>0.64</v>
          </cell>
          <cell r="M43">
            <v>0.8</v>
          </cell>
        </row>
        <row r="44">
          <cell r="F44">
            <v>0.3</v>
          </cell>
          <cell r="M44">
            <v>0.5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C9B5B-F47C-4C6E-9F0D-353DC63DD224}">
  <dimension ref="A1:M45"/>
  <sheetViews>
    <sheetView workbookViewId="0">
      <selection activeCell="K7" sqref="K7"/>
    </sheetView>
  </sheetViews>
  <sheetFormatPr baseColWidth="10" defaultRowHeight="15" x14ac:dyDescent="0.25"/>
  <sheetData>
    <row r="1" spans="1:13" ht="16.5" thickTop="1" thickBot="1" x14ac:dyDescent="0.3">
      <c r="A1" s="1" t="s">
        <v>0</v>
      </c>
      <c r="B1" s="1"/>
      <c r="C1" s="1"/>
      <c r="D1" s="1" t="s">
        <v>1</v>
      </c>
      <c r="E1" s="1"/>
      <c r="F1" s="1"/>
      <c r="H1" s="1" t="s">
        <v>0</v>
      </c>
      <c r="I1" s="1"/>
      <c r="J1" s="1"/>
      <c r="K1" s="1" t="s">
        <v>1</v>
      </c>
      <c r="L1" s="1"/>
      <c r="M1" s="1"/>
    </row>
    <row r="2" spans="1:13" ht="16.5" thickTop="1" thickBot="1" x14ac:dyDescent="0.3">
      <c r="A2" s="1" t="s">
        <v>2</v>
      </c>
      <c r="B2" s="1"/>
      <c r="C2" s="1"/>
      <c r="D2" s="2" t="s">
        <v>3</v>
      </c>
      <c r="E2" s="2"/>
      <c r="F2" s="2"/>
      <c r="H2" s="1" t="s">
        <v>2</v>
      </c>
      <c r="I2" s="1"/>
      <c r="J2" s="1"/>
      <c r="K2" s="1" t="s">
        <v>12</v>
      </c>
      <c r="L2" s="1"/>
      <c r="M2" s="1"/>
    </row>
    <row r="3" spans="1:13" ht="16.5" thickTop="1" thickBot="1" x14ac:dyDescent="0.3">
      <c r="A3" s="3" t="s">
        <v>4</v>
      </c>
      <c r="B3" s="3"/>
      <c r="C3" s="3"/>
      <c r="D3" s="3"/>
      <c r="E3" s="3"/>
      <c r="F3" s="3"/>
      <c r="H3" s="3" t="s">
        <v>13</v>
      </c>
      <c r="I3" s="3"/>
      <c r="J3" s="3"/>
      <c r="K3" s="3"/>
      <c r="L3" s="3"/>
      <c r="M3" s="3"/>
    </row>
    <row r="4" spans="1:13" ht="76.5" thickTop="1" thickBot="1" x14ac:dyDescent="0.3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5" t="s">
        <v>10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</row>
    <row r="5" spans="1:13" ht="16.5" thickTop="1" thickBot="1" x14ac:dyDescent="0.3">
      <c r="A5" s="6">
        <v>1</v>
      </c>
      <c r="B5" s="6" t="s">
        <v>11</v>
      </c>
      <c r="C5" s="7">
        <v>45119</v>
      </c>
      <c r="D5" s="8">
        <v>2000</v>
      </c>
      <c r="E5" s="8">
        <v>5000</v>
      </c>
      <c r="F5" s="9">
        <f>D5-E5</f>
        <v>-3000</v>
      </c>
      <c r="H5" s="6">
        <v>1</v>
      </c>
      <c r="I5" s="6" t="s">
        <v>11</v>
      </c>
      <c r="J5" s="7">
        <v>45159</v>
      </c>
      <c r="K5" s="8">
        <v>4250</v>
      </c>
      <c r="L5" s="8">
        <v>5000</v>
      </c>
      <c r="M5" s="9">
        <f>K5-L5</f>
        <v>-750</v>
      </c>
    </row>
    <row r="6" spans="1:13" ht="16.5" thickTop="1" thickBot="1" x14ac:dyDescent="0.3">
      <c r="A6" s="6">
        <v>2</v>
      </c>
      <c r="B6" s="6" t="s">
        <v>11</v>
      </c>
      <c r="C6" s="10">
        <v>45119</v>
      </c>
      <c r="D6" s="11">
        <v>2400</v>
      </c>
      <c r="E6" s="11">
        <v>8000</v>
      </c>
      <c r="F6" s="9">
        <f t="shared" ref="F6:F44" si="0">D6-E6</f>
        <v>-5600</v>
      </c>
      <c r="H6" s="6">
        <v>2</v>
      </c>
      <c r="I6" s="6" t="s">
        <v>11</v>
      </c>
      <c r="J6" s="10">
        <v>45159</v>
      </c>
      <c r="K6" s="11">
        <v>4800</v>
      </c>
      <c r="L6" s="11">
        <v>8000</v>
      </c>
      <c r="M6" s="9">
        <f t="shared" ref="M6:M44" si="1">K6-L6</f>
        <v>-3200</v>
      </c>
    </row>
    <row r="7" spans="1:13" ht="16.5" thickTop="1" thickBot="1" x14ac:dyDescent="0.3">
      <c r="A7" s="6">
        <v>3</v>
      </c>
      <c r="B7" s="6" t="s">
        <v>11</v>
      </c>
      <c r="C7" s="10">
        <v>45119</v>
      </c>
      <c r="D7" s="11">
        <v>5040</v>
      </c>
      <c r="E7" s="11">
        <v>9000</v>
      </c>
      <c r="F7" s="9">
        <f t="shared" si="0"/>
        <v>-3960</v>
      </c>
      <c r="H7" s="6">
        <v>3</v>
      </c>
      <c r="I7" s="6" t="s">
        <v>11</v>
      </c>
      <c r="J7" s="10">
        <v>45159</v>
      </c>
      <c r="K7" s="11">
        <v>6300</v>
      </c>
      <c r="L7" s="11">
        <v>9000</v>
      </c>
      <c r="M7" s="9">
        <f t="shared" si="1"/>
        <v>-2700</v>
      </c>
    </row>
    <row r="8" spans="1:13" ht="16.5" thickTop="1" thickBot="1" x14ac:dyDescent="0.3">
      <c r="A8" s="6">
        <v>4</v>
      </c>
      <c r="B8" s="6" t="s">
        <v>11</v>
      </c>
      <c r="C8" s="10">
        <v>45120</v>
      </c>
      <c r="D8" s="11">
        <v>3000</v>
      </c>
      <c r="E8" s="11">
        <v>5000</v>
      </c>
      <c r="F8" s="9">
        <f t="shared" si="0"/>
        <v>-2000</v>
      </c>
      <c r="H8" s="6">
        <v>4</v>
      </c>
      <c r="I8" s="6" t="s">
        <v>11</v>
      </c>
      <c r="J8" s="10">
        <v>45160</v>
      </c>
      <c r="K8" s="11">
        <v>3750</v>
      </c>
      <c r="L8" s="11">
        <v>5000</v>
      </c>
      <c r="M8" s="9">
        <f t="shared" si="1"/>
        <v>-1250</v>
      </c>
    </row>
    <row r="9" spans="1:13" ht="16.5" thickTop="1" thickBot="1" x14ac:dyDescent="0.3">
      <c r="A9" s="6">
        <v>5</v>
      </c>
      <c r="B9" s="6" t="s">
        <v>11</v>
      </c>
      <c r="C9" s="10">
        <v>45120</v>
      </c>
      <c r="D9" s="11">
        <v>4000</v>
      </c>
      <c r="E9" s="11">
        <v>8000</v>
      </c>
      <c r="F9" s="9">
        <f t="shared" si="0"/>
        <v>-4000</v>
      </c>
      <c r="H9" s="6">
        <v>5</v>
      </c>
      <c r="I9" s="6" t="s">
        <v>11</v>
      </c>
      <c r="J9" s="10">
        <v>45160</v>
      </c>
      <c r="K9" s="11">
        <v>7200</v>
      </c>
      <c r="L9" s="11">
        <v>8000</v>
      </c>
      <c r="M9" s="9">
        <f t="shared" si="1"/>
        <v>-800</v>
      </c>
    </row>
    <row r="10" spans="1:13" ht="16.5" thickTop="1" thickBot="1" x14ac:dyDescent="0.3">
      <c r="A10" s="6">
        <v>6</v>
      </c>
      <c r="B10" s="6" t="s">
        <v>11</v>
      </c>
      <c r="C10" s="10">
        <v>45120</v>
      </c>
      <c r="D10" s="11">
        <v>6300</v>
      </c>
      <c r="E10" s="11">
        <v>9000</v>
      </c>
      <c r="F10" s="9">
        <f t="shared" si="0"/>
        <v>-2700</v>
      </c>
      <c r="H10" s="6">
        <v>6</v>
      </c>
      <c r="I10" s="6" t="s">
        <v>11</v>
      </c>
      <c r="J10" s="10">
        <v>45160</v>
      </c>
      <c r="K10" s="11">
        <v>7380</v>
      </c>
      <c r="L10" s="11">
        <v>9000</v>
      </c>
      <c r="M10" s="9">
        <f t="shared" si="1"/>
        <v>-1620</v>
      </c>
    </row>
    <row r="11" spans="1:13" ht="16.5" thickTop="1" thickBot="1" x14ac:dyDescent="0.3">
      <c r="A11" s="6">
        <v>7</v>
      </c>
      <c r="B11" s="6" t="s">
        <v>11</v>
      </c>
      <c r="C11" s="10">
        <v>45121</v>
      </c>
      <c r="D11" s="11">
        <v>4000</v>
      </c>
      <c r="E11" s="11">
        <v>5000</v>
      </c>
      <c r="F11" s="9">
        <f t="shared" si="0"/>
        <v>-1000</v>
      </c>
      <c r="H11" s="6">
        <v>7</v>
      </c>
      <c r="I11" s="6" t="s">
        <v>11</v>
      </c>
      <c r="J11" s="10">
        <v>45161</v>
      </c>
      <c r="K11" s="11">
        <v>5000</v>
      </c>
      <c r="L11" s="11">
        <v>5000</v>
      </c>
      <c r="M11" s="9">
        <f t="shared" si="1"/>
        <v>0</v>
      </c>
    </row>
    <row r="12" spans="1:13" ht="16.5" thickTop="1" thickBot="1" x14ac:dyDescent="0.3">
      <c r="A12" s="6">
        <v>8</v>
      </c>
      <c r="B12" s="6" t="s">
        <v>11</v>
      </c>
      <c r="C12" s="10">
        <v>45121</v>
      </c>
      <c r="D12" s="11">
        <v>4800</v>
      </c>
      <c r="E12" s="11">
        <v>8000</v>
      </c>
      <c r="F12" s="9">
        <f t="shared" si="0"/>
        <v>-3200</v>
      </c>
      <c r="H12" s="6">
        <v>8</v>
      </c>
      <c r="I12" s="6" t="s">
        <v>11</v>
      </c>
      <c r="J12" s="10">
        <v>45161</v>
      </c>
      <c r="K12" s="11">
        <v>6800</v>
      </c>
      <c r="L12" s="11">
        <v>8000</v>
      </c>
      <c r="M12" s="9">
        <f t="shared" si="1"/>
        <v>-1200</v>
      </c>
    </row>
    <row r="13" spans="1:13" ht="16.5" thickTop="1" thickBot="1" x14ac:dyDescent="0.3">
      <c r="A13" s="6">
        <v>9</v>
      </c>
      <c r="B13" s="6" t="s">
        <v>11</v>
      </c>
      <c r="C13" s="10">
        <v>45121</v>
      </c>
      <c r="D13" s="11">
        <v>6750</v>
      </c>
      <c r="E13" s="11">
        <v>9000</v>
      </c>
      <c r="F13" s="9">
        <f t="shared" si="0"/>
        <v>-2250</v>
      </c>
      <c r="H13" s="6">
        <v>9</v>
      </c>
      <c r="I13" s="6" t="s">
        <v>11</v>
      </c>
      <c r="J13" s="10">
        <v>45161</v>
      </c>
      <c r="K13" s="11">
        <v>6750</v>
      </c>
      <c r="L13" s="11">
        <v>9000</v>
      </c>
      <c r="M13" s="9">
        <f t="shared" si="1"/>
        <v>-2250</v>
      </c>
    </row>
    <row r="14" spans="1:13" ht="16.5" thickTop="1" thickBot="1" x14ac:dyDescent="0.3">
      <c r="A14" s="6">
        <v>10</v>
      </c>
      <c r="B14" s="6" t="s">
        <v>11</v>
      </c>
      <c r="C14" s="10">
        <v>45124</v>
      </c>
      <c r="D14" s="11">
        <v>3500</v>
      </c>
      <c r="E14" s="11">
        <v>5000</v>
      </c>
      <c r="F14" s="9">
        <f t="shared" si="0"/>
        <v>-1500</v>
      </c>
      <c r="H14" s="6">
        <v>10</v>
      </c>
      <c r="I14" s="6" t="s">
        <v>11</v>
      </c>
      <c r="J14" s="10">
        <v>45162</v>
      </c>
      <c r="K14" s="11">
        <v>4500</v>
      </c>
      <c r="L14" s="11">
        <v>5000</v>
      </c>
      <c r="M14" s="9">
        <f t="shared" si="1"/>
        <v>-500</v>
      </c>
    </row>
    <row r="15" spans="1:13" ht="16.5" thickTop="1" thickBot="1" x14ac:dyDescent="0.3">
      <c r="A15" s="6">
        <v>11</v>
      </c>
      <c r="B15" s="6" t="s">
        <v>11</v>
      </c>
      <c r="C15" s="10">
        <v>45124</v>
      </c>
      <c r="D15" s="11">
        <v>3600</v>
      </c>
      <c r="E15" s="11">
        <v>8000</v>
      </c>
      <c r="F15" s="9">
        <f t="shared" si="0"/>
        <v>-4400</v>
      </c>
      <c r="H15" s="6">
        <v>11</v>
      </c>
      <c r="I15" s="6" t="s">
        <v>11</v>
      </c>
      <c r="J15" s="10">
        <v>45162</v>
      </c>
      <c r="K15" s="11">
        <v>5600</v>
      </c>
      <c r="L15" s="11">
        <v>8000</v>
      </c>
      <c r="M15" s="9">
        <f t="shared" si="1"/>
        <v>-2400</v>
      </c>
    </row>
    <row r="16" spans="1:13" ht="16.5" thickTop="1" thickBot="1" x14ac:dyDescent="0.3">
      <c r="A16" s="6">
        <v>12</v>
      </c>
      <c r="B16" s="6" t="s">
        <v>11</v>
      </c>
      <c r="C16" s="10">
        <v>45124</v>
      </c>
      <c r="D16" s="11">
        <v>5850</v>
      </c>
      <c r="E16" s="11">
        <v>9000</v>
      </c>
      <c r="F16" s="9">
        <f t="shared" si="0"/>
        <v>-3150</v>
      </c>
      <c r="H16" s="6">
        <v>12</v>
      </c>
      <c r="I16" s="6" t="s">
        <v>11</v>
      </c>
      <c r="J16" s="10">
        <v>45162</v>
      </c>
      <c r="K16" s="11">
        <v>7650</v>
      </c>
      <c r="L16" s="11">
        <v>9000</v>
      </c>
      <c r="M16" s="9">
        <f t="shared" si="1"/>
        <v>-1350</v>
      </c>
    </row>
    <row r="17" spans="1:13" ht="16.5" thickTop="1" thickBot="1" x14ac:dyDescent="0.3">
      <c r="A17" s="6">
        <v>13</v>
      </c>
      <c r="B17" s="6" t="s">
        <v>11</v>
      </c>
      <c r="C17" s="10">
        <v>45125</v>
      </c>
      <c r="D17" s="11">
        <v>3250</v>
      </c>
      <c r="E17" s="11">
        <v>5000</v>
      </c>
      <c r="F17" s="9">
        <f t="shared" si="0"/>
        <v>-1750</v>
      </c>
      <c r="H17" s="6">
        <v>13</v>
      </c>
      <c r="I17" s="6" t="s">
        <v>11</v>
      </c>
      <c r="J17" s="10">
        <v>45163</v>
      </c>
      <c r="K17" s="11">
        <v>4000</v>
      </c>
      <c r="L17" s="11">
        <v>5000</v>
      </c>
      <c r="M17" s="9">
        <f t="shared" si="1"/>
        <v>-1000</v>
      </c>
    </row>
    <row r="18" spans="1:13" ht="16.5" thickTop="1" thickBot="1" x14ac:dyDescent="0.3">
      <c r="A18" s="6">
        <v>14</v>
      </c>
      <c r="B18" s="6" t="s">
        <v>11</v>
      </c>
      <c r="C18" s="7">
        <v>45125</v>
      </c>
      <c r="D18" s="8">
        <v>5600</v>
      </c>
      <c r="E18" s="8">
        <v>8000</v>
      </c>
      <c r="F18" s="9">
        <f t="shared" si="0"/>
        <v>-2400</v>
      </c>
      <c r="H18" s="6">
        <v>14</v>
      </c>
      <c r="I18" s="6" t="s">
        <v>11</v>
      </c>
      <c r="J18" s="7">
        <v>45163</v>
      </c>
      <c r="K18" s="8">
        <v>7200</v>
      </c>
      <c r="L18" s="8">
        <v>8000</v>
      </c>
      <c r="M18" s="9">
        <f t="shared" si="1"/>
        <v>-800</v>
      </c>
    </row>
    <row r="19" spans="1:13" ht="16.5" thickTop="1" thickBot="1" x14ac:dyDescent="0.3">
      <c r="A19" s="6">
        <v>15</v>
      </c>
      <c r="B19" s="6" t="s">
        <v>11</v>
      </c>
      <c r="C19" s="10">
        <v>45125</v>
      </c>
      <c r="D19" s="11">
        <v>5400</v>
      </c>
      <c r="E19" s="11">
        <v>9000</v>
      </c>
      <c r="F19" s="9">
        <f t="shared" si="0"/>
        <v>-3600</v>
      </c>
      <c r="H19" s="6">
        <v>15</v>
      </c>
      <c r="I19" s="6" t="s">
        <v>11</v>
      </c>
      <c r="J19" s="10">
        <v>45163</v>
      </c>
      <c r="K19" s="11">
        <v>6480</v>
      </c>
      <c r="L19" s="11">
        <v>9000</v>
      </c>
      <c r="M19" s="9">
        <f t="shared" si="1"/>
        <v>-2520</v>
      </c>
    </row>
    <row r="20" spans="1:13" ht="16.5" thickTop="1" thickBot="1" x14ac:dyDescent="0.3">
      <c r="A20" s="6">
        <v>16</v>
      </c>
      <c r="B20" s="6" t="s">
        <v>11</v>
      </c>
      <c r="C20" s="10">
        <v>45126</v>
      </c>
      <c r="D20" s="11">
        <v>5500</v>
      </c>
      <c r="E20" s="11">
        <v>5000</v>
      </c>
      <c r="F20" s="9">
        <f t="shared" si="0"/>
        <v>500</v>
      </c>
      <c r="H20" s="6">
        <v>16</v>
      </c>
      <c r="I20" s="6" t="s">
        <v>11</v>
      </c>
      <c r="J20" s="10">
        <v>45166</v>
      </c>
      <c r="K20" s="11">
        <v>5750</v>
      </c>
      <c r="L20" s="11">
        <v>5000</v>
      </c>
      <c r="M20" s="9">
        <f t="shared" si="1"/>
        <v>750</v>
      </c>
    </row>
    <row r="21" spans="1:13" ht="16.5" thickTop="1" thickBot="1" x14ac:dyDescent="0.3">
      <c r="A21" s="6">
        <v>17</v>
      </c>
      <c r="B21" s="6" t="s">
        <v>11</v>
      </c>
      <c r="C21" s="10">
        <v>45126</v>
      </c>
      <c r="D21" s="11">
        <v>3600</v>
      </c>
      <c r="E21" s="11">
        <v>8000</v>
      </c>
      <c r="F21" s="9">
        <f t="shared" si="0"/>
        <v>-4400</v>
      </c>
      <c r="H21" s="6">
        <v>17</v>
      </c>
      <c r="I21" s="6" t="s">
        <v>11</v>
      </c>
      <c r="J21" s="10">
        <v>45166</v>
      </c>
      <c r="K21" s="11">
        <v>4800</v>
      </c>
      <c r="L21" s="11">
        <v>8000</v>
      </c>
      <c r="M21" s="9">
        <f t="shared" si="1"/>
        <v>-3200</v>
      </c>
    </row>
    <row r="22" spans="1:13" ht="16.5" thickTop="1" thickBot="1" x14ac:dyDescent="0.3">
      <c r="A22" s="6">
        <v>18</v>
      </c>
      <c r="B22" s="6" t="s">
        <v>11</v>
      </c>
      <c r="C22" s="10">
        <v>45126</v>
      </c>
      <c r="D22" s="11">
        <v>6300</v>
      </c>
      <c r="E22" s="11">
        <v>9000</v>
      </c>
      <c r="F22" s="9">
        <f t="shared" si="0"/>
        <v>-2700</v>
      </c>
      <c r="H22" s="6">
        <v>18</v>
      </c>
      <c r="I22" s="6" t="s">
        <v>11</v>
      </c>
      <c r="J22" s="10">
        <v>45166</v>
      </c>
      <c r="K22" s="11">
        <v>8100</v>
      </c>
      <c r="L22" s="11">
        <v>9000</v>
      </c>
      <c r="M22" s="9">
        <f t="shared" si="1"/>
        <v>-900</v>
      </c>
    </row>
    <row r="23" spans="1:13" ht="16.5" thickTop="1" thickBot="1" x14ac:dyDescent="0.3">
      <c r="A23" s="6">
        <v>19</v>
      </c>
      <c r="B23" s="6" t="s">
        <v>11</v>
      </c>
      <c r="C23" s="10">
        <v>45127</v>
      </c>
      <c r="D23" s="11">
        <v>4500</v>
      </c>
      <c r="E23" s="11">
        <v>5000</v>
      </c>
      <c r="F23" s="9">
        <f t="shared" si="0"/>
        <v>-500</v>
      </c>
      <c r="H23" s="6">
        <v>19</v>
      </c>
      <c r="I23" s="6" t="s">
        <v>11</v>
      </c>
      <c r="J23" s="10">
        <v>45167</v>
      </c>
      <c r="K23" s="11">
        <v>5500</v>
      </c>
      <c r="L23" s="11">
        <v>5000</v>
      </c>
      <c r="M23" s="9">
        <f t="shared" si="1"/>
        <v>500</v>
      </c>
    </row>
    <row r="24" spans="1:13" ht="16.5" thickTop="1" thickBot="1" x14ac:dyDescent="0.3">
      <c r="A24" s="6">
        <v>20</v>
      </c>
      <c r="B24" s="6" t="s">
        <v>11</v>
      </c>
      <c r="C24" s="10">
        <v>45127</v>
      </c>
      <c r="D24" s="11">
        <v>4800</v>
      </c>
      <c r="E24" s="11">
        <v>8000</v>
      </c>
      <c r="F24" s="9">
        <f t="shared" si="0"/>
        <v>-3200</v>
      </c>
      <c r="H24" s="6">
        <v>20</v>
      </c>
      <c r="I24" s="6" t="s">
        <v>11</v>
      </c>
      <c r="J24" s="10">
        <v>45167</v>
      </c>
      <c r="K24" s="11">
        <v>6400</v>
      </c>
      <c r="L24" s="11">
        <v>8000</v>
      </c>
      <c r="M24" s="9">
        <f t="shared" si="1"/>
        <v>-1600</v>
      </c>
    </row>
    <row r="25" spans="1:13" ht="16.5" thickTop="1" thickBot="1" x14ac:dyDescent="0.3">
      <c r="A25" s="6">
        <v>21</v>
      </c>
      <c r="B25" s="6" t="s">
        <v>11</v>
      </c>
      <c r="C25" s="10">
        <v>45127</v>
      </c>
      <c r="D25" s="11">
        <v>9000</v>
      </c>
      <c r="E25" s="11">
        <v>9000</v>
      </c>
      <c r="F25" s="9">
        <f t="shared" si="0"/>
        <v>0</v>
      </c>
      <c r="H25" s="6">
        <v>21</v>
      </c>
      <c r="I25" s="6" t="s">
        <v>11</v>
      </c>
      <c r="J25" s="10">
        <v>45167</v>
      </c>
      <c r="K25" s="11">
        <v>9900</v>
      </c>
      <c r="L25" s="11">
        <v>9000</v>
      </c>
      <c r="M25" s="9">
        <f t="shared" si="1"/>
        <v>900</v>
      </c>
    </row>
    <row r="26" spans="1:13" ht="16.5" thickTop="1" thickBot="1" x14ac:dyDescent="0.3">
      <c r="A26" s="6">
        <v>22</v>
      </c>
      <c r="B26" s="6" t="s">
        <v>11</v>
      </c>
      <c r="C26" s="10">
        <v>45128</v>
      </c>
      <c r="D26" s="11">
        <v>3500</v>
      </c>
      <c r="E26" s="11">
        <v>5000</v>
      </c>
      <c r="F26" s="9">
        <f t="shared" si="0"/>
        <v>-1500</v>
      </c>
      <c r="H26" s="6">
        <v>22</v>
      </c>
      <c r="I26" s="6" t="s">
        <v>11</v>
      </c>
      <c r="J26" s="10">
        <v>45168</v>
      </c>
      <c r="K26" s="11">
        <v>4100</v>
      </c>
      <c r="L26" s="11">
        <v>5000</v>
      </c>
      <c r="M26" s="9">
        <f t="shared" si="1"/>
        <v>-900</v>
      </c>
    </row>
    <row r="27" spans="1:13" ht="16.5" thickTop="1" thickBot="1" x14ac:dyDescent="0.3">
      <c r="A27" s="6">
        <v>23</v>
      </c>
      <c r="B27" s="6" t="s">
        <v>11</v>
      </c>
      <c r="C27" s="10">
        <v>45128</v>
      </c>
      <c r="D27" s="11">
        <v>8000</v>
      </c>
      <c r="E27" s="11">
        <v>8000</v>
      </c>
      <c r="F27" s="9">
        <f t="shared" si="0"/>
        <v>0</v>
      </c>
      <c r="H27" s="6">
        <v>23</v>
      </c>
      <c r="I27" s="6" t="s">
        <v>11</v>
      </c>
      <c r="J27" s="10">
        <v>45168</v>
      </c>
      <c r="K27" s="11">
        <v>9600</v>
      </c>
      <c r="L27" s="11">
        <v>8000</v>
      </c>
      <c r="M27" s="9">
        <f t="shared" si="1"/>
        <v>1600</v>
      </c>
    </row>
    <row r="28" spans="1:13" ht="16.5" thickTop="1" thickBot="1" x14ac:dyDescent="0.3">
      <c r="A28" s="6">
        <v>24</v>
      </c>
      <c r="B28" s="6" t="s">
        <v>11</v>
      </c>
      <c r="C28" s="10">
        <v>45128</v>
      </c>
      <c r="D28" s="11">
        <v>5400</v>
      </c>
      <c r="E28" s="11">
        <v>9000</v>
      </c>
      <c r="F28" s="9">
        <f t="shared" si="0"/>
        <v>-3600</v>
      </c>
      <c r="H28" s="6">
        <v>24</v>
      </c>
      <c r="I28" s="6" t="s">
        <v>11</v>
      </c>
      <c r="J28" s="10">
        <v>45168</v>
      </c>
      <c r="K28" s="11">
        <v>7200</v>
      </c>
      <c r="L28" s="11">
        <v>9000</v>
      </c>
      <c r="M28" s="9">
        <f t="shared" si="1"/>
        <v>-1800</v>
      </c>
    </row>
    <row r="29" spans="1:13" ht="16.5" thickTop="1" thickBot="1" x14ac:dyDescent="0.3">
      <c r="A29" s="6">
        <v>25</v>
      </c>
      <c r="B29" s="6" t="s">
        <v>11</v>
      </c>
      <c r="C29" s="10">
        <v>45131</v>
      </c>
      <c r="D29" s="11">
        <v>4000</v>
      </c>
      <c r="E29" s="11">
        <v>5000</v>
      </c>
      <c r="F29" s="9">
        <f t="shared" si="0"/>
        <v>-1000</v>
      </c>
      <c r="H29" s="6">
        <v>25</v>
      </c>
      <c r="I29" s="6" t="s">
        <v>11</v>
      </c>
      <c r="J29" s="10">
        <v>45169</v>
      </c>
      <c r="K29" s="11">
        <v>4500</v>
      </c>
      <c r="L29" s="11">
        <v>5000</v>
      </c>
      <c r="M29" s="9">
        <f t="shared" si="1"/>
        <v>-500</v>
      </c>
    </row>
    <row r="30" spans="1:13" ht="16.5" thickTop="1" thickBot="1" x14ac:dyDescent="0.3">
      <c r="A30" s="6">
        <v>26</v>
      </c>
      <c r="B30" s="6" t="s">
        <v>11</v>
      </c>
      <c r="C30" s="10">
        <v>45131</v>
      </c>
      <c r="D30" s="11">
        <v>3200</v>
      </c>
      <c r="E30" s="11">
        <v>8000</v>
      </c>
      <c r="F30" s="9">
        <f t="shared" si="0"/>
        <v>-4800</v>
      </c>
      <c r="H30" s="6">
        <v>26</v>
      </c>
      <c r="I30" s="6" t="s">
        <v>11</v>
      </c>
      <c r="J30" s="10">
        <v>45169</v>
      </c>
      <c r="K30" s="11">
        <v>5200</v>
      </c>
      <c r="L30" s="11">
        <v>8000</v>
      </c>
      <c r="M30" s="9">
        <f t="shared" si="1"/>
        <v>-2800</v>
      </c>
    </row>
    <row r="31" spans="1:13" ht="16.5" thickTop="1" thickBot="1" x14ac:dyDescent="0.3">
      <c r="A31" s="6">
        <v>27</v>
      </c>
      <c r="B31" s="6" t="s">
        <v>11</v>
      </c>
      <c r="C31" s="10">
        <v>45131</v>
      </c>
      <c r="D31" s="11">
        <v>3600</v>
      </c>
      <c r="E31" s="11">
        <v>9000</v>
      </c>
      <c r="F31" s="9">
        <f t="shared" si="0"/>
        <v>-5400</v>
      </c>
      <c r="H31" s="6">
        <v>27</v>
      </c>
      <c r="I31" s="6" t="s">
        <v>11</v>
      </c>
      <c r="J31" s="10">
        <v>45169</v>
      </c>
      <c r="K31" s="11">
        <v>5850</v>
      </c>
      <c r="L31" s="11">
        <v>9000</v>
      </c>
      <c r="M31" s="9">
        <f t="shared" si="1"/>
        <v>-3150</v>
      </c>
    </row>
    <row r="32" spans="1:13" ht="16.5" thickTop="1" thickBot="1" x14ac:dyDescent="0.3">
      <c r="A32" s="6">
        <v>28</v>
      </c>
      <c r="B32" s="6" t="s">
        <v>11</v>
      </c>
      <c r="C32" s="10">
        <v>45132</v>
      </c>
      <c r="D32" s="11">
        <v>3000</v>
      </c>
      <c r="E32" s="11">
        <v>5000</v>
      </c>
      <c r="F32" s="9">
        <f t="shared" si="0"/>
        <v>-2000</v>
      </c>
      <c r="H32" s="6">
        <v>28</v>
      </c>
      <c r="I32" s="6" t="s">
        <v>11</v>
      </c>
      <c r="J32" s="10">
        <v>45170</v>
      </c>
      <c r="K32" s="11">
        <v>4000</v>
      </c>
      <c r="L32" s="11">
        <v>5000</v>
      </c>
      <c r="M32" s="9">
        <f t="shared" si="1"/>
        <v>-1000</v>
      </c>
    </row>
    <row r="33" spans="1:13" ht="16.5" thickTop="1" thickBot="1" x14ac:dyDescent="0.3">
      <c r="A33" s="6">
        <v>29</v>
      </c>
      <c r="B33" s="6" t="s">
        <v>11</v>
      </c>
      <c r="C33" s="10">
        <v>45132</v>
      </c>
      <c r="D33" s="8">
        <v>7200</v>
      </c>
      <c r="E33" s="11">
        <v>8000</v>
      </c>
      <c r="F33" s="9">
        <f t="shared" si="0"/>
        <v>-800</v>
      </c>
      <c r="H33" s="6">
        <v>29</v>
      </c>
      <c r="I33" s="6" t="s">
        <v>11</v>
      </c>
      <c r="J33" s="10">
        <v>45170</v>
      </c>
      <c r="K33" s="11">
        <v>8800</v>
      </c>
      <c r="L33" s="11">
        <v>8000</v>
      </c>
      <c r="M33" s="9">
        <f t="shared" si="1"/>
        <v>800</v>
      </c>
    </row>
    <row r="34" spans="1:13" ht="16.5" thickTop="1" thickBot="1" x14ac:dyDescent="0.3">
      <c r="A34" s="6">
        <v>30</v>
      </c>
      <c r="B34" s="6" t="s">
        <v>11</v>
      </c>
      <c r="C34" s="10">
        <v>45132</v>
      </c>
      <c r="D34" s="11">
        <v>5400</v>
      </c>
      <c r="E34" s="11">
        <v>9000</v>
      </c>
      <c r="F34" s="9">
        <f t="shared" si="0"/>
        <v>-3600</v>
      </c>
      <c r="H34" s="6">
        <v>30</v>
      </c>
      <c r="I34" s="6" t="s">
        <v>11</v>
      </c>
      <c r="J34" s="10">
        <v>45170</v>
      </c>
      <c r="K34" s="11">
        <v>6300</v>
      </c>
      <c r="L34" s="11">
        <v>9000</v>
      </c>
      <c r="M34" s="9">
        <f t="shared" si="1"/>
        <v>-2700</v>
      </c>
    </row>
    <row r="35" spans="1:13" ht="16.5" thickTop="1" thickBot="1" x14ac:dyDescent="0.3">
      <c r="A35" s="6">
        <v>31</v>
      </c>
      <c r="B35" s="6" t="s">
        <v>11</v>
      </c>
      <c r="C35" s="7">
        <v>45133</v>
      </c>
      <c r="D35" s="11">
        <v>1000</v>
      </c>
      <c r="E35" s="8">
        <v>5000</v>
      </c>
      <c r="F35" s="9">
        <f t="shared" si="0"/>
        <v>-4000</v>
      </c>
      <c r="H35" s="6">
        <v>31</v>
      </c>
      <c r="I35" s="6" t="s">
        <v>11</v>
      </c>
      <c r="J35" s="7">
        <v>45173</v>
      </c>
      <c r="K35" s="8">
        <v>2500</v>
      </c>
      <c r="L35" s="8">
        <v>5000</v>
      </c>
      <c r="M35" s="9">
        <f t="shared" si="1"/>
        <v>-2500</v>
      </c>
    </row>
    <row r="36" spans="1:13" ht="16.5" thickTop="1" thickBot="1" x14ac:dyDescent="0.3">
      <c r="A36" s="6">
        <v>32</v>
      </c>
      <c r="B36" s="6" t="s">
        <v>11</v>
      </c>
      <c r="C36" s="10">
        <v>45133</v>
      </c>
      <c r="D36" s="11">
        <v>2400</v>
      </c>
      <c r="E36" s="11">
        <v>8000</v>
      </c>
      <c r="F36" s="9">
        <f t="shared" si="0"/>
        <v>-5600</v>
      </c>
      <c r="H36" s="6">
        <v>32</v>
      </c>
      <c r="I36" s="6" t="s">
        <v>11</v>
      </c>
      <c r="J36" s="10">
        <v>45173</v>
      </c>
      <c r="K36" s="11">
        <v>4800</v>
      </c>
      <c r="L36" s="11">
        <v>8000</v>
      </c>
      <c r="M36" s="9">
        <f t="shared" si="1"/>
        <v>-3200</v>
      </c>
    </row>
    <row r="37" spans="1:13" ht="16.5" thickTop="1" thickBot="1" x14ac:dyDescent="0.3">
      <c r="A37" s="6">
        <v>33</v>
      </c>
      <c r="B37" s="6" t="s">
        <v>11</v>
      </c>
      <c r="C37" s="10">
        <v>45133</v>
      </c>
      <c r="D37" s="11">
        <v>1800</v>
      </c>
      <c r="E37" s="11">
        <v>9000</v>
      </c>
      <c r="F37" s="9">
        <f t="shared" si="0"/>
        <v>-7200</v>
      </c>
      <c r="H37" s="6">
        <v>33</v>
      </c>
      <c r="I37" s="6" t="s">
        <v>11</v>
      </c>
      <c r="J37" s="10">
        <v>45173</v>
      </c>
      <c r="K37" s="11">
        <v>5400</v>
      </c>
      <c r="L37" s="11">
        <v>9000</v>
      </c>
      <c r="M37" s="9">
        <f t="shared" si="1"/>
        <v>-3600</v>
      </c>
    </row>
    <row r="38" spans="1:13" ht="16.5" thickTop="1" thickBot="1" x14ac:dyDescent="0.3">
      <c r="A38" s="6">
        <v>34</v>
      </c>
      <c r="B38" s="6" t="s">
        <v>11</v>
      </c>
      <c r="C38" s="10">
        <v>45134</v>
      </c>
      <c r="D38" s="11">
        <v>5000</v>
      </c>
      <c r="E38" s="11">
        <v>5000</v>
      </c>
      <c r="F38" s="9">
        <f t="shared" si="0"/>
        <v>0</v>
      </c>
      <c r="H38" s="6">
        <v>34</v>
      </c>
      <c r="I38" s="6" t="s">
        <v>11</v>
      </c>
      <c r="J38" s="10">
        <v>45174</v>
      </c>
      <c r="K38" s="11">
        <v>6000</v>
      </c>
      <c r="L38" s="11">
        <v>5000</v>
      </c>
      <c r="M38" s="9">
        <f t="shared" si="1"/>
        <v>1000</v>
      </c>
    </row>
    <row r="39" spans="1:13" ht="16.5" thickTop="1" thickBot="1" x14ac:dyDescent="0.3">
      <c r="A39" s="6">
        <v>35</v>
      </c>
      <c r="B39" s="6" t="s">
        <v>11</v>
      </c>
      <c r="C39" s="10">
        <v>45134</v>
      </c>
      <c r="D39" s="11">
        <v>5600</v>
      </c>
      <c r="E39" s="11">
        <v>8000</v>
      </c>
      <c r="F39" s="9">
        <f t="shared" si="0"/>
        <v>-2400</v>
      </c>
      <c r="H39" s="6">
        <v>35</v>
      </c>
      <c r="I39" s="6" t="s">
        <v>11</v>
      </c>
      <c r="J39" s="10">
        <v>45174</v>
      </c>
      <c r="K39" s="11">
        <v>7200</v>
      </c>
      <c r="L39" s="11">
        <v>8000</v>
      </c>
      <c r="M39" s="9">
        <f t="shared" si="1"/>
        <v>-800</v>
      </c>
    </row>
    <row r="40" spans="1:13" ht="16.5" thickTop="1" thickBot="1" x14ac:dyDescent="0.3">
      <c r="A40" s="6">
        <v>36</v>
      </c>
      <c r="B40" s="6" t="s">
        <v>11</v>
      </c>
      <c r="C40" s="10">
        <v>45134</v>
      </c>
      <c r="D40" s="11">
        <v>8100</v>
      </c>
      <c r="E40" s="11">
        <v>9000</v>
      </c>
      <c r="F40" s="9">
        <f t="shared" si="0"/>
        <v>-900</v>
      </c>
      <c r="H40" s="6">
        <v>36</v>
      </c>
      <c r="I40" s="6" t="s">
        <v>11</v>
      </c>
      <c r="J40" s="10">
        <v>45174</v>
      </c>
      <c r="K40" s="11">
        <v>9000</v>
      </c>
      <c r="L40" s="11">
        <v>9000</v>
      </c>
      <c r="M40" s="9">
        <f t="shared" si="1"/>
        <v>0</v>
      </c>
    </row>
    <row r="41" spans="1:13" ht="16.5" thickTop="1" thickBot="1" x14ac:dyDescent="0.3">
      <c r="A41" s="6">
        <v>37</v>
      </c>
      <c r="B41" s="6" t="s">
        <v>11</v>
      </c>
      <c r="C41" s="10">
        <v>45135</v>
      </c>
      <c r="D41" s="11">
        <v>2000</v>
      </c>
      <c r="E41" s="11">
        <v>5000</v>
      </c>
      <c r="F41" s="9">
        <f t="shared" si="0"/>
        <v>-3000</v>
      </c>
      <c r="H41" s="6">
        <v>37</v>
      </c>
      <c r="I41" s="6" t="s">
        <v>11</v>
      </c>
      <c r="J41" s="10">
        <v>45175</v>
      </c>
      <c r="K41" s="11">
        <v>3250</v>
      </c>
      <c r="L41" s="11">
        <v>5000</v>
      </c>
      <c r="M41" s="9">
        <f t="shared" si="1"/>
        <v>-1750</v>
      </c>
    </row>
    <row r="42" spans="1:13" ht="16.5" thickTop="1" thickBot="1" x14ac:dyDescent="0.3">
      <c r="A42" s="6">
        <v>38</v>
      </c>
      <c r="B42" s="6" t="s">
        <v>11</v>
      </c>
      <c r="C42" s="10">
        <v>45135</v>
      </c>
      <c r="D42" s="11">
        <v>4640</v>
      </c>
      <c r="E42" s="11">
        <v>8000</v>
      </c>
      <c r="F42" s="9">
        <f t="shared" si="0"/>
        <v>-3360</v>
      </c>
      <c r="H42" s="6">
        <v>38</v>
      </c>
      <c r="I42" s="6" t="s">
        <v>11</v>
      </c>
      <c r="J42" s="10">
        <v>45175</v>
      </c>
      <c r="K42" s="11">
        <v>5600</v>
      </c>
      <c r="L42" s="11">
        <v>8000</v>
      </c>
      <c r="M42" s="9">
        <f t="shared" si="1"/>
        <v>-2400</v>
      </c>
    </row>
    <row r="43" spans="1:13" ht="16.5" thickTop="1" thickBot="1" x14ac:dyDescent="0.3">
      <c r="A43" s="6">
        <v>39</v>
      </c>
      <c r="B43" s="6" t="s">
        <v>11</v>
      </c>
      <c r="C43" s="10">
        <v>45135</v>
      </c>
      <c r="D43" s="11">
        <v>5760</v>
      </c>
      <c r="E43" s="11">
        <v>9000</v>
      </c>
      <c r="F43" s="9">
        <f t="shared" si="0"/>
        <v>-3240</v>
      </c>
      <c r="H43" s="6">
        <v>39</v>
      </c>
      <c r="I43" s="6" t="s">
        <v>11</v>
      </c>
      <c r="J43" s="10">
        <v>45175</v>
      </c>
      <c r="K43" s="11">
        <v>7200</v>
      </c>
      <c r="L43" s="11">
        <v>9000</v>
      </c>
      <c r="M43" s="9">
        <f t="shared" si="1"/>
        <v>-1800</v>
      </c>
    </row>
    <row r="44" spans="1:13" ht="16.5" thickTop="1" thickBot="1" x14ac:dyDescent="0.3">
      <c r="A44" s="6">
        <v>40</v>
      </c>
      <c r="B44" s="6" t="s">
        <v>11</v>
      </c>
      <c r="C44" s="10">
        <v>45136</v>
      </c>
      <c r="D44" s="11">
        <v>1500</v>
      </c>
      <c r="E44" s="11">
        <v>5000</v>
      </c>
      <c r="F44" s="9">
        <f t="shared" si="0"/>
        <v>-3500</v>
      </c>
      <c r="H44" s="6">
        <v>40</v>
      </c>
      <c r="I44" s="6" t="s">
        <v>11</v>
      </c>
      <c r="J44" s="10">
        <v>45176</v>
      </c>
      <c r="K44" s="11">
        <v>2500</v>
      </c>
      <c r="L44" s="11">
        <v>5000</v>
      </c>
      <c r="M44" s="9">
        <f t="shared" si="1"/>
        <v>-2500</v>
      </c>
    </row>
    <row r="45" spans="1:13" ht="15.75" thickTop="1" x14ac:dyDescent="0.25"/>
  </sheetData>
  <mergeCells count="10">
    <mergeCell ref="K1:M1"/>
    <mergeCell ref="H2:J2"/>
    <mergeCell ref="K2:M2"/>
    <mergeCell ref="H3:M3"/>
    <mergeCell ref="A1:C1"/>
    <mergeCell ref="D1:F1"/>
    <mergeCell ref="A2:C2"/>
    <mergeCell ref="D2:F2"/>
    <mergeCell ref="A3:F3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E4ED-015E-434D-8143-7E2932203892}">
  <dimension ref="A1:M45"/>
  <sheetViews>
    <sheetView tabSelected="1" workbookViewId="0">
      <selection activeCell="H1" sqref="H1:M44"/>
    </sheetView>
  </sheetViews>
  <sheetFormatPr baseColWidth="10" defaultRowHeight="15" x14ac:dyDescent="0.25"/>
  <sheetData>
    <row r="1" spans="1:13" ht="16.5" thickTop="1" thickBot="1" x14ac:dyDescent="0.3">
      <c r="A1" s="1" t="s">
        <v>0</v>
      </c>
      <c r="B1" s="1"/>
      <c r="C1" s="1"/>
      <c r="D1" s="1" t="s">
        <v>1</v>
      </c>
      <c r="E1" s="1"/>
      <c r="F1" s="1"/>
      <c r="H1" s="1" t="s">
        <v>0</v>
      </c>
      <c r="I1" s="1"/>
      <c r="J1" s="1"/>
      <c r="K1" s="1" t="s">
        <v>1</v>
      </c>
      <c r="L1" s="1"/>
      <c r="M1" s="1"/>
    </row>
    <row r="2" spans="1:13" ht="16.5" thickTop="1" thickBot="1" x14ac:dyDescent="0.3">
      <c r="A2" s="1" t="s">
        <v>2</v>
      </c>
      <c r="B2" s="1"/>
      <c r="C2" s="1"/>
      <c r="D2" s="1" t="s">
        <v>14</v>
      </c>
      <c r="E2" s="1"/>
      <c r="F2" s="1"/>
      <c r="H2" s="1" t="s">
        <v>2</v>
      </c>
      <c r="I2" s="1"/>
      <c r="J2" s="1"/>
      <c r="K2" s="1" t="s">
        <v>17</v>
      </c>
      <c r="L2" s="1"/>
      <c r="M2" s="1"/>
    </row>
    <row r="3" spans="1:13" ht="16.5" thickTop="1" thickBot="1" x14ac:dyDescent="0.3">
      <c r="A3" s="3" t="s">
        <v>4</v>
      </c>
      <c r="B3" s="3"/>
      <c r="C3" s="3"/>
      <c r="D3" s="3"/>
      <c r="E3" s="3"/>
      <c r="F3" s="3"/>
      <c r="H3" s="3" t="s">
        <v>13</v>
      </c>
      <c r="I3" s="3"/>
      <c r="J3" s="3"/>
      <c r="K3" s="3"/>
      <c r="L3" s="3"/>
      <c r="M3" s="3"/>
    </row>
    <row r="4" spans="1:13" ht="46.5" thickTop="1" thickBot="1" x14ac:dyDescent="0.3">
      <c r="A4" s="4" t="s">
        <v>5</v>
      </c>
      <c r="B4" s="4" t="s">
        <v>6</v>
      </c>
      <c r="C4" s="4" t="s">
        <v>7</v>
      </c>
      <c r="D4" s="4" t="s">
        <v>8</v>
      </c>
      <c r="E4" s="4" t="s">
        <v>15</v>
      </c>
      <c r="F4" s="4" t="s">
        <v>16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15</v>
      </c>
      <c r="M4" s="4" t="s">
        <v>16</v>
      </c>
    </row>
    <row r="5" spans="1:13" ht="16.5" thickTop="1" thickBot="1" x14ac:dyDescent="0.3">
      <c r="A5" s="6">
        <v>1</v>
      </c>
      <c r="B5" s="6" t="s">
        <v>11</v>
      </c>
      <c r="C5" s="7">
        <v>45119</v>
      </c>
      <c r="D5" s="8">
        <v>2000</v>
      </c>
      <c r="E5" s="8">
        <v>5000</v>
      </c>
      <c r="F5" s="9">
        <f>D5/E5</f>
        <v>0.4</v>
      </c>
      <c r="H5" s="6">
        <v>1</v>
      </c>
      <c r="I5" s="6" t="s">
        <v>11</v>
      </c>
      <c r="J5" s="7">
        <v>45159</v>
      </c>
      <c r="K5" s="8">
        <v>4250</v>
      </c>
      <c r="L5" s="8">
        <v>5000</v>
      </c>
      <c r="M5" s="9">
        <f>K5/L5</f>
        <v>0.85</v>
      </c>
    </row>
    <row r="6" spans="1:13" ht="16.5" thickTop="1" thickBot="1" x14ac:dyDescent="0.3">
      <c r="A6" s="6">
        <v>2</v>
      </c>
      <c r="B6" s="6" t="s">
        <v>11</v>
      </c>
      <c r="C6" s="10">
        <v>45119</v>
      </c>
      <c r="D6" s="11">
        <v>2400</v>
      </c>
      <c r="E6" s="11">
        <v>8000</v>
      </c>
      <c r="F6" s="9">
        <f t="shared" ref="F6:F44" si="0">D6/E6</f>
        <v>0.3</v>
      </c>
      <c r="H6" s="6">
        <v>2</v>
      </c>
      <c r="I6" s="6" t="s">
        <v>11</v>
      </c>
      <c r="J6" s="10">
        <v>45159</v>
      </c>
      <c r="K6" s="11">
        <v>4800</v>
      </c>
      <c r="L6" s="11">
        <v>8000</v>
      </c>
      <c r="M6" s="9">
        <f t="shared" ref="M6:M44" si="1">K6/L6</f>
        <v>0.6</v>
      </c>
    </row>
    <row r="7" spans="1:13" ht="16.5" thickTop="1" thickBot="1" x14ac:dyDescent="0.3">
      <c r="A7" s="6">
        <v>3</v>
      </c>
      <c r="B7" s="6" t="s">
        <v>11</v>
      </c>
      <c r="C7" s="10">
        <v>45119</v>
      </c>
      <c r="D7" s="11">
        <v>5040</v>
      </c>
      <c r="E7" s="11">
        <v>9000</v>
      </c>
      <c r="F7" s="9">
        <f t="shared" si="0"/>
        <v>0.56000000000000005</v>
      </c>
      <c r="H7" s="6">
        <v>3</v>
      </c>
      <c r="I7" s="6" t="s">
        <v>11</v>
      </c>
      <c r="J7" s="10">
        <v>45159</v>
      </c>
      <c r="K7" s="11">
        <v>6300</v>
      </c>
      <c r="L7" s="11">
        <v>9000</v>
      </c>
      <c r="M7" s="9">
        <f t="shared" si="1"/>
        <v>0.7</v>
      </c>
    </row>
    <row r="8" spans="1:13" ht="16.5" thickTop="1" thickBot="1" x14ac:dyDescent="0.3">
      <c r="A8" s="6">
        <v>4</v>
      </c>
      <c r="B8" s="6" t="s">
        <v>11</v>
      </c>
      <c r="C8" s="10">
        <v>45120</v>
      </c>
      <c r="D8" s="11">
        <v>3000</v>
      </c>
      <c r="E8" s="11">
        <v>5000</v>
      </c>
      <c r="F8" s="9">
        <f t="shared" si="0"/>
        <v>0.6</v>
      </c>
      <c r="H8" s="6">
        <v>4</v>
      </c>
      <c r="I8" s="6" t="s">
        <v>11</v>
      </c>
      <c r="J8" s="10">
        <v>45160</v>
      </c>
      <c r="K8" s="11">
        <v>3750</v>
      </c>
      <c r="L8" s="11">
        <v>5000</v>
      </c>
      <c r="M8" s="9">
        <f t="shared" si="1"/>
        <v>0.75</v>
      </c>
    </row>
    <row r="9" spans="1:13" ht="16.5" thickTop="1" thickBot="1" x14ac:dyDescent="0.3">
      <c r="A9" s="6">
        <v>5</v>
      </c>
      <c r="B9" s="6" t="s">
        <v>11</v>
      </c>
      <c r="C9" s="10">
        <v>45120</v>
      </c>
      <c r="D9" s="11">
        <v>4000</v>
      </c>
      <c r="E9" s="11">
        <v>8000</v>
      </c>
      <c r="F9" s="9">
        <f t="shared" si="0"/>
        <v>0.5</v>
      </c>
      <c r="H9" s="6">
        <v>5</v>
      </c>
      <c r="I9" s="6" t="s">
        <v>11</v>
      </c>
      <c r="J9" s="10">
        <v>45160</v>
      </c>
      <c r="K9" s="11">
        <v>7200</v>
      </c>
      <c r="L9" s="11">
        <v>8000</v>
      </c>
      <c r="M9" s="9">
        <f t="shared" si="1"/>
        <v>0.9</v>
      </c>
    </row>
    <row r="10" spans="1:13" ht="16.5" thickTop="1" thickBot="1" x14ac:dyDescent="0.3">
      <c r="A10" s="6">
        <v>6</v>
      </c>
      <c r="B10" s="6" t="s">
        <v>11</v>
      </c>
      <c r="C10" s="10">
        <v>45120</v>
      </c>
      <c r="D10" s="11">
        <v>6300</v>
      </c>
      <c r="E10" s="11">
        <v>9000</v>
      </c>
      <c r="F10" s="9">
        <f t="shared" si="0"/>
        <v>0.7</v>
      </c>
      <c r="H10" s="6">
        <v>6</v>
      </c>
      <c r="I10" s="6" t="s">
        <v>11</v>
      </c>
      <c r="J10" s="10">
        <v>45160</v>
      </c>
      <c r="K10" s="11">
        <v>7380</v>
      </c>
      <c r="L10" s="11">
        <v>9000</v>
      </c>
      <c r="M10" s="9">
        <f t="shared" si="1"/>
        <v>0.82</v>
      </c>
    </row>
    <row r="11" spans="1:13" ht="16.5" thickTop="1" thickBot="1" x14ac:dyDescent="0.3">
      <c r="A11" s="6">
        <v>7</v>
      </c>
      <c r="B11" s="6" t="s">
        <v>11</v>
      </c>
      <c r="C11" s="10">
        <v>45121</v>
      </c>
      <c r="D11" s="11">
        <v>4000</v>
      </c>
      <c r="E11" s="11">
        <v>5000</v>
      </c>
      <c r="F11" s="9">
        <f t="shared" si="0"/>
        <v>0.8</v>
      </c>
      <c r="H11" s="6">
        <v>7</v>
      </c>
      <c r="I11" s="6" t="s">
        <v>11</v>
      </c>
      <c r="J11" s="10">
        <v>45161</v>
      </c>
      <c r="K11" s="11">
        <v>5000</v>
      </c>
      <c r="L11" s="11">
        <v>5000</v>
      </c>
      <c r="M11" s="9">
        <f t="shared" si="1"/>
        <v>1</v>
      </c>
    </row>
    <row r="12" spans="1:13" ht="16.5" thickTop="1" thickBot="1" x14ac:dyDescent="0.3">
      <c r="A12" s="6">
        <v>8</v>
      </c>
      <c r="B12" s="6" t="s">
        <v>11</v>
      </c>
      <c r="C12" s="10">
        <v>45121</v>
      </c>
      <c r="D12" s="11">
        <v>4800</v>
      </c>
      <c r="E12" s="11">
        <v>8000</v>
      </c>
      <c r="F12" s="9">
        <f t="shared" si="0"/>
        <v>0.6</v>
      </c>
      <c r="H12" s="6">
        <v>8</v>
      </c>
      <c r="I12" s="6" t="s">
        <v>11</v>
      </c>
      <c r="J12" s="10">
        <v>45161</v>
      </c>
      <c r="K12" s="11">
        <v>6800</v>
      </c>
      <c r="L12" s="11">
        <v>8000</v>
      </c>
      <c r="M12" s="9">
        <f t="shared" si="1"/>
        <v>0.85</v>
      </c>
    </row>
    <row r="13" spans="1:13" ht="16.5" thickTop="1" thickBot="1" x14ac:dyDescent="0.3">
      <c r="A13" s="6">
        <v>9</v>
      </c>
      <c r="B13" s="6" t="s">
        <v>11</v>
      </c>
      <c r="C13" s="10">
        <v>45121</v>
      </c>
      <c r="D13" s="11">
        <v>6750</v>
      </c>
      <c r="E13" s="11">
        <v>9000</v>
      </c>
      <c r="F13" s="9">
        <f t="shared" si="0"/>
        <v>0.75</v>
      </c>
      <c r="H13" s="6">
        <v>9</v>
      </c>
      <c r="I13" s="6" t="s">
        <v>11</v>
      </c>
      <c r="J13" s="10">
        <v>45161</v>
      </c>
      <c r="K13" s="11">
        <v>6750</v>
      </c>
      <c r="L13" s="11">
        <v>9000</v>
      </c>
      <c r="M13" s="9">
        <f t="shared" si="1"/>
        <v>0.75</v>
      </c>
    </row>
    <row r="14" spans="1:13" ht="16.5" thickTop="1" thickBot="1" x14ac:dyDescent="0.3">
      <c r="A14" s="6">
        <v>10</v>
      </c>
      <c r="B14" s="6" t="s">
        <v>11</v>
      </c>
      <c r="C14" s="10">
        <v>45124</v>
      </c>
      <c r="D14" s="11">
        <v>3500</v>
      </c>
      <c r="E14" s="11">
        <v>5000</v>
      </c>
      <c r="F14" s="9">
        <f t="shared" si="0"/>
        <v>0.7</v>
      </c>
      <c r="H14" s="6">
        <v>10</v>
      </c>
      <c r="I14" s="6" t="s">
        <v>11</v>
      </c>
      <c r="J14" s="10">
        <v>45162</v>
      </c>
      <c r="K14" s="11">
        <v>4500</v>
      </c>
      <c r="L14" s="11">
        <v>5000</v>
      </c>
      <c r="M14" s="9">
        <f t="shared" si="1"/>
        <v>0.9</v>
      </c>
    </row>
    <row r="15" spans="1:13" ht="16.5" thickTop="1" thickBot="1" x14ac:dyDescent="0.3">
      <c r="A15" s="6">
        <v>11</v>
      </c>
      <c r="B15" s="6" t="s">
        <v>11</v>
      </c>
      <c r="C15" s="10">
        <v>45124</v>
      </c>
      <c r="D15" s="11">
        <v>3600</v>
      </c>
      <c r="E15" s="11">
        <v>8000</v>
      </c>
      <c r="F15" s="9">
        <f t="shared" si="0"/>
        <v>0.45</v>
      </c>
      <c r="H15" s="6">
        <v>11</v>
      </c>
      <c r="I15" s="6" t="s">
        <v>11</v>
      </c>
      <c r="J15" s="10">
        <v>45162</v>
      </c>
      <c r="K15" s="11">
        <v>5600</v>
      </c>
      <c r="L15" s="11">
        <v>8000</v>
      </c>
      <c r="M15" s="9">
        <f t="shared" si="1"/>
        <v>0.7</v>
      </c>
    </row>
    <row r="16" spans="1:13" ht="16.5" thickTop="1" thickBot="1" x14ac:dyDescent="0.3">
      <c r="A16" s="6">
        <v>12</v>
      </c>
      <c r="B16" s="6" t="s">
        <v>11</v>
      </c>
      <c r="C16" s="10">
        <v>45124</v>
      </c>
      <c r="D16" s="11">
        <v>5850</v>
      </c>
      <c r="E16" s="11">
        <v>9000</v>
      </c>
      <c r="F16" s="9">
        <f t="shared" si="0"/>
        <v>0.65</v>
      </c>
      <c r="H16" s="6">
        <v>12</v>
      </c>
      <c r="I16" s="6" t="s">
        <v>11</v>
      </c>
      <c r="J16" s="10">
        <v>45162</v>
      </c>
      <c r="K16" s="11">
        <v>7650</v>
      </c>
      <c r="L16" s="11">
        <v>9000</v>
      </c>
      <c r="M16" s="9">
        <f t="shared" si="1"/>
        <v>0.85</v>
      </c>
    </row>
    <row r="17" spans="1:13" ht="16.5" thickTop="1" thickBot="1" x14ac:dyDescent="0.3">
      <c r="A17" s="6">
        <v>13</v>
      </c>
      <c r="B17" s="6" t="s">
        <v>11</v>
      </c>
      <c r="C17" s="10">
        <v>45125</v>
      </c>
      <c r="D17" s="11">
        <v>3250</v>
      </c>
      <c r="E17" s="11">
        <v>5000</v>
      </c>
      <c r="F17" s="9">
        <f t="shared" si="0"/>
        <v>0.65</v>
      </c>
      <c r="H17" s="6">
        <v>13</v>
      </c>
      <c r="I17" s="6" t="s">
        <v>11</v>
      </c>
      <c r="J17" s="10">
        <v>45163</v>
      </c>
      <c r="K17" s="11">
        <v>4000</v>
      </c>
      <c r="L17" s="11">
        <v>5000</v>
      </c>
      <c r="M17" s="9">
        <f t="shared" si="1"/>
        <v>0.8</v>
      </c>
    </row>
    <row r="18" spans="1:13" ht="16.5" thickTop="1" thickBot="1" x14ac:dyDescent="0.3">
      <c r="A18" s="6">
        <v>14</v>
      </c>
      <c r="B18" s="6" t="s">
        <v>11</v>
      </c>
      <c r="C18" s="7">
        <v>45125</v>
      </c>
      <c r="D18" s="8">
        <v>5600</v>
      </c>
      <c r="E18" s="8">
        <v>8000</v>
      </c>
      <c r="F18" s="9">
        <f t="shared" si="0"/>
        <v>0.7</v>
      </c>
      <c r="H18" s="6">
        <v>14</v>
      </c>
      <c r="I18" s="6" t="s">
        <v>11</v>
      </c>
      <c r="J18" s="7">
        <v>45163</v>
      </c>
      <c r="K18" s="8">
        <v>7200</v>
      </c>
      <c r="L18" s="8">
        <v>8000</v>
      </c>
      <c r="M18" s="9">
        <f t="shared" si="1"/>
        <v>0.9</v>
      </c>
    </row>
    <row r="19" spans="1:13" ht="16.5" thickTop="1" thickBot="1" x14ac:dyDescent="0.3">
      <c r="A19" s="6">
        <v>15</v>
      </c>
      <c r="B19" s="6" t="s">
        <v>11</v>
      </c>
      <c r="C19" s="10">
        <v>45119</v>
      </c>
      <c r="D19" s="11">
        <v>5400</v>
      </c>
      <c r="E19" s="11">
        <v>9000</v>
      </c>
      <c r="F19" s="9">
        <f t="shared" si="0"/>
        <v>0.6</v>
      </c>
      <c r="H19" s="6">
        <v>15</v>
      </c>
      <c r="I19" s="6" t="s">
        <v>11</v>
      </c>
      <c r="J19" s="10">
        <v>45163</v>
      </c>
      <c r="K19" s="11">
        <v>6480</v>
      </c>
      <c r="L19" s="11">
        <v>9000</v>
      </c>
      <c r="M19" s="9">
        <f t="shared" si="1"/>
        <v>0.72</v>
      </c>
    </row>
    <row r="20" spans="1:13" ht="16.5" thickTop="1" thickBot="1" x14ac:dyDescent="0.3">
      <c r="A20" s="6">
        <v>16</v>
      </c>
      <c r="B20" s="6" t="s">
        <v>11</v>
      </c>
      <c r="C20" s="10">
        <v>45126</v>
      </c>
      <c r="D20" s="11">
        <v>5500</v>
      </c>
      <c r="E20" s="11">
        <v>5000</v>
      </c>
      <c r="F20" s="9">
        <f t="shared" si="0"/>
        <v>1.1000000000000001</v>
      </c>
      <c r="H20" s="6">
        <v>16</v>
      </c>
      <c r="I20" s="6" t="s">
        <v>11</v>
      </c>
      <c r="J20" s="10">
        <v>45166</v>
      </c>
      <c r="K20" s="11">
        <v>5750</v>
      </c>
      <c r="L20" s="11">
        <v>5000</v>
      </c>
      <c r="M20" s="9">
        <f t="shared" si="1"/>
        <v>1.1499999999999999</v>
      </c>
    </row>
    <row r="21" spans="1:13" ht="16.5" thickTop="1" thickBot="1" x14ac:dyDescent="0.3">
      <c r="A21" s="6">
        <v>17</v>
      </c>
      <c r="B21" s="6" t="s">
        <v>11</v>
      </c>
      <c r="C21" s="10">
        <v>45126</v>
      </c>
      <c r="D21" s="11">
        <v>3600</v>
      </c>
      <c r="E21" s="11">
        <v>8000</v>
      </c>
      <c r="F21" s="9">
        <f t="shared" si="0"/>
        <v>0.45</v>
      </c>
      <c r="H21" s="6">
        <v>17</v>
      </c>
      <c r="I21" s="6" t="s">
        <v>11</v>
      </c>
      <c r="J21" s="10">
        <v>45166</v>
      </c>
      <c r="K21" s="11">
        <v>4800</v>
      </c>
      <c r="L21" s="11">
        <v>8000</v>
      </c>
      <c r="M21" s="9">
        <f t="shared" si="1"/>
        <v>0.6</v>
      </c>
    </row>
    <row r="22" spans="1:13" ht="16.5" thickTop="1" thickBot="1" x14ac:dyDescent="0.3">
      <c r="A22" s="6">
        <v>18</v>
      </c>
      <c r="B22" s="6" t="s">
        <v>11</v>
      </c>
      <c r="C22" s="10">
        <v>45126</v>
      </c>
      <c r="D22" s="11">
        <v>6300</v>
      </c>
      <c r="E22" s="11">
        <v>9000</v>
      </c>
      <c r="F22" s="9">
        <f t="shared" si="0"/>
        <v>0.7</v>
      </c>
      <c r="H22" s="6">
        <v>18</v>
      </c>
      <c r="I22" s="6" t="s">
        <v>11</v>
      </c>
      <c r="J22" s="10">
        <v>45166</v>
      </c>
      <c r="K22" s="11">
        <v>8100</v>
      </c>
      <c r="L22" s="11">
        <v>9000</v>
      </c>
      <c r="M22" s="9">
        <f t="shared" si="1"/>
        <v>0.9</v>
      </c>
    </row>
    <row r="23" spans="1:13" ht="16.5" thickTop="1" thickBot="1" x14ac:dyDescent="0.3">
      <c r="A23" s="6">
        <v>19</v>
      </c>
      <c r="B23" s="6" t="s">
        <v>11</v>
      </c>
      <c r="C23" s="10">
        <v>45127</v>
      </c>
      <c r="D23" s="11">
        <v>4500</v>
      </c>
      <c r="E23" s="11">
        <v>5000</v>
      </c>
      <c r="F23" s="9">
        <f t="shared" si="0"/>
        <v>0.9</v>
      </c>
      <c r="H23" s="6">
        <v>19</v>
      </c>
      <c r="I23" s="6" t="s">
        <v>11</v>
      </c>
      <c r="J23" s="10">
        <v>45167</v>
      </c>
      <c r="K23" s="11">
        <v>5500</v>
      </c>
      <c r="L23" s="11">
        <v>5000</v>
      </c>
      <c r="M23" s="9">
        <f t="shared" si="1"/>
        <v>1.1000000000000001</v>
      </c>
    </row>
    <row r="24" spans="1:13" ht="16.5" thickTop="1" thickBot="1" x14ac:dyDescent="0.3">
      <c r="A24" s="6">
        <v>20</v>
      </c>
      <c r="B24" s="6" t="s">
        <v>11</v>
      </c>
      <c r="C24" s="10">
        <v>45127</v>
      </c>
      <c r="D24" s="11">
        <v>4800</v>
      </c>
      <c r="E24" s="11">
        <v>8000</v>
      </c>
      <c r="F24" s="9">
        <f t="shared" si="0"/>
        <v>0.6</v>
      </c>
      <c r="H24" s="6">
        <v>20</v>
      </c>
      <c r="I24" s="6" t="s">
        <v>11</v>
      </c>
      <c r="J24" s="10">
        <v>45167</v>
      </c>
      <c r="K24" s="11">
        <v>6400</v>
      </c>
      <c r="L24" s="11">
        <v>8000</v>
      </c>
      <c r="M24" s="9">
        <f t="shared" si="1"/>
        <v>0.8</v>
      </c>
    </row>
    <row r="25" spans="1:13" ht="16.5" thickTop="1" thickBot="1" x14ac:dyDescent="0.3">
      <c r="A25" s="6">
        <v>21</v>
      </c>
      <c r="B25" s="6" t="s">
        <v>11</v>
      </c>
      <c r="C25" s="10">
        <v>45127</v>
      </c>
      <c r="D25" s="11">
        <v>9000</v>
      </c>
      <c r="E25" s="11">
        <v>9000</v>
      </c>
      <c r="F25" s="9">
        <f t="shared" si="0"/>
        <v>1</v>
      </c>
      <c r="H25" s="6">
        <v>21</v>
      </c>
      <c r="I25" s="6" t="s">
        <v>11</v>
      </c>
      <c r="J25" s="10">
        <v>45167</v>
      </c>
      <c r="K25" s="11">
        <v>9900</v>
      </c>
      <c r="L25" s="11">
        <v>9000</v>
      </c>
      <c r="M25" s="9">
        <f t="shared" si="1"/>
        <v>1.1000000000000001</v>
      </c>
    </row>
    <row r="26" spans="1:13" ht="16.5" thickTop="1" thickBot="1" x14ac:dyDescent="0.3">
      <c r="A26" s="6">
        <v>22</v>
      </c>
      <c r="B26" s="6" t="s">
        <v>11</v>
      </c>
      <c r="C26" s="10">
        <v>45128</v>
      </c>
      <c r="D26" s="11">
        <v>3500</v>
      </c>
      <c r="E26" s="11">
        <v>5000</v>
      </c>
      <c r="F26" s="9">
        <f t="shared" si="0"/>
        <v>0.7</v>
      </c>
      <c r="H26" s="6">
        <v>22</v>
      </c>
      <c r="I26" s="6" t="s">
        <v>11</v>
      </c>
      <c r="J26" s="10">
        <v>45168</v>
      </c>
      <c r="K26" s="11">
        <v>4100</v>
      </c>
      <c r="L26" s="11">
        <v>5000</v>
      </c>
      <c r="M26" s="9">
        <f t="shared" si="1"/>
        <v>0.82</v>
      </c>
    </row>
    <row r="27" spans="1:13" ht="16.5" thickTop="1" thickBot="1" x14ac:dyDescent="0.3">
      <c r="A27" s="6">
        <v>23</v>
      </c>
      <c r="B27" s="6" t="s">
        <v>11</v>
      </c>
      <c r="C27" s="10">
        <v>45128</v>
      </c>
      <c r="D27" s="11">
        <v>8000</v>
      </c>
      <c r="E27" s="11">
        <v>8000</v>
      </c>
      <c r="F27" s="9">
        <f t="shared" si="0"/>
        <v>1</v>
      </c>
      <c r="H27" s="6">
        <v>23</v>
      </c>
      <c r="I27" s="6" t="s">
        <v>11</v>
      </c>
      <c r="J27" s="10">
        <v>45168</v>
      </c>
      <c r="K27" s="11">
        <v>9600</v>
      </c>
      <c r="L27" s="11">
        <v>8000</v>
      </c>
      <c r="M27" s="9">
        <f t="shared" si="1"/>
        <v>1.2</v>
      </c>
    </row>
    <row r="28" spans="1:13" ht="16.5" thickTop="1" thickBot="1" x14ac:dyDescent="0.3">
      <c r="A28" s="6">
        <v>24</v>
      </c>
      <c r="B28" s="6" t="s">
        <v>11</v>
      </c>
      <c r="C28" s="10">
        <v>45128</v>
      </c>
      <c r="D28" s="11">
        <v>5400</v>
      </c>
      <c r="E28" s="11">
        <v>9000</v>
      </c>
      <c r="F28" s="9">
        <f t="shared" si="0"/>
        <v>0.6</v>
      </c>
      <c r="H28" s="6">
        <v>24</v>
      </c>
      <c r="I28" s="6" t="s">
        <v>11</v>
      </c>
      <c r="J28" s="10">
        <v>45168</v>
      </c>
      <c r="K28" s="11">
        <v>7200</v>
      </c>
      <c r="L28" s="11">
        <v>9000</v>
      </c>
      <c r="M28" s="9">
        <f t="shared" si="1"/>
        <v>0.8</v>
      </c>
    </row>
    <row r="29" spans="1:13" ht="16.5" thickTop="1" thickBot="1" x14ac:dyDescent="0.3">
      <c r="A29" s="6">
        <v>25</v>
      </c>
      <c r="B29" s="6" t="s">
        <v>11</v>
      </c>
      <c r="C29" s="10">
        <v>45131</v>
      </c>
      <c r="D29" s="11">
        <v>4000</v>
      </c>
      <c r="E29" s="11">
        <v>5000</v>
      </c>
      <c r="F29" s="9">
        <f t="shared" si="0"/>
        <v>0.8</v>
      </c>
      <c r="H29" s="6">
        <v>25</v>
      </c>
      <c r="I29" s="6" t="s">
        <v>11</v>
      </c>
      <c r="J29" s="10">
        <v>45169</v>
      </c>
      <c r="K29" s="11">
        <v>4500</v>
      </c>
      <c r="L29" s="11">
        <v>5000</v>
      </c>
      <c r="M29" s="9">
        <f t="shared" si="1"/>
        <v>0.9</v>
      </c>
    </row>
    <row r="30" spans="1:13" ht="16.5" thickTop="1" thickBot="1" x14ac:dyDescent="0.3">
      <c r="A30" s="6">
        <v>26</v>
      </c>
      <c r="B30" s="6" t="s">
        <v>11</v>
      </c>
      <c r="C30" s="10">
        <v>45131</v>
      </c>
      <c r="D30" s="11">
        <v>3200</v>
      </c>
      <c r="E30" s="11">
        <v>8000</v>
      </c>
      <c r="F30" s="9">
        <f t="shared" si="0"/>
        <v>0.4</v>
      </c>
      <c r="H30" s="6">
        <v>26</v>
      </c>
      <c r="I30" s="6" t="s">
        <v>11</v>
      </c>
      <c r="J30" s="10">
        <v>45169</v>
      </c>
      <c r="K30" s="11">
        <v>5200</v>
      </c>
      <c r="L30" s="11">
        <v>8000</v>
      </c>
      <c r="M30" s="9">
        <f t="shared" si="1"/>
        <v>0.65</v>
      </c>
    </row>
    <row r="31" spans="1:13" ht="16.5" thickTop="1" thickBot="1" x14ac:dyDescent="0.3">
      <c r="A31" s="6">
        <v>27</v>
      </c>
      <c r="B31" s="6" t="s">
        <v>11</v>
      </c>
      <c r="C31" s="10">
        <v>45131</v>
      </c>
      <c r="D31" s="11">
        <v>3600</v>
      </c>
      <c r="E31" s="11">
        <v>9000</v>
      </c>
      <c r="F31" s="9">
        <f t="shared" si="0"/>
        <v>0.4</v>
      </c>
      <c r="H31" s="6">
        <v>27</v>
      </c>
      <c r="I31" s="6" t="s">
        <v>11</v>
      </c>
      <c r="J31" s="10">
        <v>45169</v>
      </c>
      <c r="K31" s="11">
        <v>5850</v>
      </c>
      <c r="L31" s="11">
        <v>9000</v>
      </c>
      <c r="M31" s="9">
        <f t="shared" si="1"/>
        <v>0.65</v>
      </c>
    </row>
    <row r="32" spans="1:13" ht="16.5" thickTop="1" thickBot="1" x14ac:dyDescent="0.3">
      <c r="A32" s="6">
        <v>28</v>
      </c>
      <c r="B32" s="6" t="s">
        <v>11</v>
      </c>
      <c r="C32" s="10">
        <v>45132</v>
      </c>
      <c r="D32" s="11">
        <v>3000</v>
      </c>
      <c r="E32" s="11">
        <v>5000</v>
      </c>
      <c r="F32" s="9">
        <f t="shared" si="0"/>
        <v>0.6</v>
      </c>
      <c r="H32" s="6">
        <v>28</v>
      </c>
      <c r="I32" s="6" t="s">
        <v>11</v>
      </c>
      <c r="J32" s="10">
        <v>45170</v>
      </c>
      <c r="K32" s="11">
        <v>4000</v>
      </c>
      <c r="L32" s="11">
        <v>5000</v>
      </c>
      <c r="M32" s="9">
        <f t="shared" si="1"/>
        <v>0.8</v>
      </c>
    </row>
    <row r="33" spans="1:13" ht="16.5" thickTop="1" thickBot="1" x14ac:dyDescent="0.3">
      <c r="A33" s="6">
        <v>29</v>
      </c>
      <c r="B33" s="6" t="s">
        <v>11</v>
      </c>
      <c r="C33" s="10">
        <v>45132</v>
      </c>
      <c r="D33" s="11">
        <v>7200</v>
      </c>
      <c r="E33" s="11">
        <v>8000</v>
      </c>
      <c r="F33" s="9">
        <f t="shared" si="0"/>
        <v>0.9</v>
      </c>
      <c r="H33" s="6">
        <v>29</v>
      </c>
      <c r="I33" s="6" t="s">
        <v>11</v>
      </c>
      <c r="J33" s="10">
        <v>45170</v>
      </c>
      <c r="K33" s="11">
        <v>8800</v>
      </c>
      <c r="L33" s="11">
        <v>8000</v>
      </c>
      <c r="M33" s="9">
        <f t="shared" si="1"/>
        <v>1.1000000000000001</v>
      </c>
    </row>
    <row r="34" spans="1:13" ht="16.5" thickTop="1" thickBot="1" x14ac:dyDescent="0.3">
      <c r="A34" s="6">
        <v>30</v>
      </c>
      <c r="B34" s="6" t="s">
        <v>11</v>
      </c>
      <c r="C34" s="10">
        <v>45132</v>
      </c>
      <c r="D34" s="11">
        <v>5400</v>
      </c>
      <c r="E34" s="11">
        <v>9000</v>
      </c>
      <c r="F34" s="9">
        <f t="shared" si="0"/>
        <v>0.6</v>
      </c>
      <c r="H34" s="6">
        <v>30</v>
      </c>
      <c r="I34" s="6" t="s">
        <v>11</v>
      </c>
      <c r="J34" s="10">
        <v>45170</v>
      </c>
      <c r="K34" s="11">
        <v>6300</v>
      </c>
      <c r="L34" s="11">
        <v>9000</v>
      </c>
      <c r="M34" s="9">
        <f t="shared" si="1"/>
        <v>0.7</v>
      </c>
    </row>
    <row r="35" spans="1:13" ht="16.5" thickTop="1" thickBot="1" x14ac:dyDescent="0.3">
      <c r="A35" s="6">
        <v>31</v>
      </c>
      <c r="B35" s="6" t="s">
        <v>11</v>
      </c>
      <c r="C35" s="7">
        <v>45133</v>
      </c>
      <c r="D35" s="8">
        <v>1000</v>
      </c>
      <c r="E35" s="8">
        <v>5000</v>
      </c>
      <c r="F35" s="9">
        <f t="shared" si="0"/>
        <v>0.2</v>
      </c>
      <c r="H35" s="6">
        <v>31</v>
      </c>
      <c r="I35" s="6" t="s">
        <v>11</v>
      </c>
      <c r="J35" s="7">
        <v>45173</v>
      </c>
      <c r="K35" s="8">
        <v>2500</v>
      </c>
      <c r="L35" s="8">
        <v>5000</v>
      </c>
      <c r="M35" s="9">
        <f t="shared" si="1"/>
        <v>0.5</v>
      </c>
    </row>
    <row r="36" spans="1:13" ht="16.5" thickTop="1" thickBot="1" x14ac:dyDescent="0.3">
      <c r="A36" s="6">
        <v>32</v>
      </c>
      <c r="B36" s="6" t="s">
        <v>11</v>
      </c>
      <c r="C36" s="10">
        <v>45133</v>
      </c>
      <c r="D36" s="11">
        <v>2400</v>
      </c>
      <c r="E36" s="11">
        <v>8000</v>
      </c>
      <c r="F36" s="9">
        <f t="shared" si="0"/>
        <v>0.3</v>
      </c>
      <c r="H36" s="6">
        <v>32</v>
      </c>
      <c r="I36" s="6" t="s">
        <v>11</v>
      </c>
      <c r="J36" s="10">
        <v>45173</v>
      </c>
      <c r="K36" s="11">
        <v>4800</v>
      </c>
      <c r="L36" s="11">
        <v>8000</v>
      </c>
      <c r="M36" s="9">
        <f t="shared" si="1"/>
        <v>0.6</v>
      </c>
    </row>
    <row r="37" spans="1:13" ht="16.5" thickTop="1" thickBot="1" x14ac:dyDescent="0.3">
      <c r="A37" s="6">
        <v>33</v>
      </c>
      <c r="B37" s="6" t="s">
        <v>11</v>
      </c>
      <c r="C37" s="10">
        <v>45133</v>
      </c>
      <c r="D37" s="11">
        <v>1800</v>
      </c>
      <c r="E37" s="11">
        <v>9000</v>
      </c>
      <c r="F37" s="9">
        <f t="shared" si="0"/>
        <v>0.2</v>
      </c>
      <c r="H37" s="6">
        <v>33</v>
      </c>
      <c r="I37" s="6" t="s">
        <v>11</v>
      </c>
      <c r="J37" s="10">
        <v>45173</v>
      </c>
      <c r="K37" s="11">
        <v>5400</v>
      </c>
      <c r="L37" s="11">
        <v>9000</v>
      </c>
      <c r="M37" s="9">
        <f t="shared" si="1"/>
        <v>0.6</v>
      </c>
    </row>
    <row r="38" spans="1:13" ht="16.5" thickTop="1" thickBot="1" x14ac:dyDescent="0.3">
      <c r="A38" s="6">
        <v>34</v>
      </c>
      <c r="B38" s="6" t="s">
        <v>11</v>
      </c>
      <c r="C38" s="10">
        <v>45134</v>
      </c>
      <c r="D38" s="11">
        <v>5000</v>
      </c>
      <c r="E38" s="11">
        <v>5000</v>
      </c>
      <c r="F38" s="9">
        <f t="shared" si="0"/>
        <v>1</v>
      </c>
      <c r="H38" s="6">
        <v>34</v>
      </c>
      <c r="I38" s="6" t="s">
        <v>11</v>
      </c>
      <c r="J38" s="10">
        <v>45174</v>
      </c>
      <c r="K38" s="11">
        <v>6000</v>
      </c>
      <c r="L38" s="11">
        <v>5000</v>
      </c>
      <c r="M38" s="9">
        <f t="shared" si="1"/>
        <v>1.2</v>
      </c>
    </row>
    <row r="39" spans="1:13" ht="16.5" thickTop="1" thickBot="1" x14ac:dyDescent="0.3">
      <c r="A39" s="6">
        <v>35</v>
      </c>
      <c r="B39" s="6" t="s">
        <v>11</v>
      </c>
      <c r="C39" s="10">
        <v>45134</v>
      </c>
      <c r="D39" s="11">
        <v>5600</v>
      </c>
      <c r="E39" s="11">
        <v>8000</v>
      </c>
      <c r="F39" s="9">
        <f t="shared" si="0"/>
        <v>0.7</v>
      </c>
      <c r="H39" s="6">
        <v>35</v>
      </c>
      <c r="I39" s="6" t="s">
        <v>11</v>
      </c>
      <c r="J39" s="10">
        <v>45174</v>
      </c>
      <c r="K39" s="11">
        <v>7200</v>
      </c>
      <c r="L39" s="11">
        <v>8000</v>
      </c>
      <c r="M39" s="9">
        <f t="shared" si="1"/>
        <v>0.9</v>
      </c>
    </row>
    <row r="40" spans="1:13" ht="16.5" thickTop="1" thickBot="1" x14ac:dyDescent="0.3">
      <c r="A40" s="6">
        <v>36</v>
      </c>
      <c r="B40" s="6" t="s">
        <v>11</v>
      </c>
      <c r="C40" s="10">
        <v>45133</v>
      </c>
      <c r="D40" s="11">
        <v>8100</v>
      </c>
      <c r="E40" s="11">
        <v>9000</v>
      </c>
      <c r="F40" s="9">
        <f t="shared" si="0"/>
        <v>0.9</v>
      </c>
      <c r="H40" s="6">
        <v>36</v>
      </c>
      <c r="I40" s="6" t="s">
        <v>11</v>
      </c>
      <c r="J40" s="10">
        <v>45174</v>
      </c>
      <c r="K40" s="11">
        <v>9000</v>
      </c>
      <c r="L40" s="11">
        <v>9000</v>
      </c>
      <c r="M40" s="9">
        <f t="shared" si="1"/>
        <v>1</v>
      </c>
    </row>
    <row r="41" spans="1:13" ht="16.5" thickTop="1" thickBot="1" x14ac:dyDescent="0.3">
      <c r="A41" s="6">
        <v>37</v>
      </c>
      <c r="B41" s="6" t="s">
        <v>11</v>
      </c>
      <c r="C41" s="10">
        <v>45135</v>
      </c>
      <c r="D41" s="11">
        <v>2000</v>
      </c>
      <c r="E41" s="11">
        <v>5000</v>
      </c>
      <c r="F41" s="9">
        <f t="shared" si="0"/>
        <v>0.4</v>
      </c>
      <c r="H41" s="6">
        <v>37</v>
      </c>
      <c r="I41" s="6" t="s">
        <v>11</v>
      </c>
      <c r="J41" s="10">
        <v>45175</v>
      </c>
      <c r="K41" s="11">
        <v>3250</v>
      </c>
      <c r="L41" s="11">
        <v>5000</v>
      </c>
      <c r="M41" s="9">
        <f t="shared" si="1"/>
        <v>0.65</v>
      </c>
    </row>
    <row r="42" spans="1:13" ht="16.5" thickTop="1" thickBot="1" x14ac:dyDescent="0.3">
      <c r="A42" s="6">
        <v>38</v>
      </c>
      <c r="B42" s="6" t="s">
        <v>11</v>
      </c>
      <c r="C42" s="10">
        <v>45135</v>
      </c>
      <c r="D42" s="11">
        <v>4640</v>
      </c>
      <c r="E42" s="11">
        <v>8000</v>
      </c>
      <c r="F42" s="9">
        <f t="shared" si="0"/>
        <v>0.57999999999999996</v>
      </c>
      <c r="H42" s="6">
        <v>38</v>
      </c>
      <c r="I42" s="6" t="s">
        <v>11</v>
      </c>
      <c r="J42" s="10">
        <v>45175</v>
      </c>
      <c r="K42" s="11">
        <v>5600</v>
      </c>
      <c r="L42" s="11">
        <v>8000</v>
      </c>
      <c r="M42" s="9">
        <f t="shared" si="1"/>
        <v>0.7</v>
      </c>
    </row>
    <row r="43" spans="1:13" ht="16.5" thickTop="1" thickBot="1" x14ac:dyDescent="0.3">
      <c r="A43" s="6">
        <v>39</v>
      </c>
      <c r="B43" s="6" t="s">
        <v>11</v>
      </c>
      <c r="C43" s="10">
        <v>45135</v>
      </c>
      <c r="D43" s="11">
        <v>5760</v>
      </c>
      <c r="E43" s="11">
        <v>9000</v>
      </c>
      <c r="F43" s="9">
        <f t="shared" si="0"/>
        <v>0.64</v>
      </c>
      <c r="H43" s="6">
        <v>39</v>
      </c>
      <c r="I43" s="6" t="s">
        <v>11</v>
      </c>
      <c r="J43" s="10">
        <v>45175</v>
      </c>
      <c r="K43" s="11">
        <v>7200</v>
      </c>
      <c r="L43" s="11">
        <v>9000</v>
      </c>
      <c r="M43" s="9">
        <f t="shared" si="1"/>
        <v>0.8</v>
      </c>
    </row>
    <row r="44" spans="1:13" ht="16.5" thickTop="1" thickBot="1" x14ac:dyDescent="0.3">
      <c r="A44" s="6">
        <v>40</v>
      </c>
      <c r="B44" s="6" t="s">
        <v>11</v>
      </c>
      <c r="C44" s="10">
        <v>45136</v>
      </c>
      <c r="D44" s="11">
        <v>1500</v>
      </c>
      <c r="E44" s="11">
        <v>5000</v>
      </c>
      <c r="F44" s="9">
        <f t="shared" si="0"/>
        <v>0.3</v>
      </c>
      <c r="H44" s="6">
        <v>40</v>
      </c>
      <c r="I44" s="6" t="s">
        <v>11</v>
      </c>
      <c r="J44" s="10">
        <v>45176</v>
      </c>
      <c r="K44" s="11">
        <v>2500</v>
      </c>
      <c r="L44" s="11">
        <v>5000</v>
      </c>
      <c r="M44" s="9">
        <f t="shared" si="1"/>
        <v>0.5</v>
      </c>
    </row>
    <row r="45" spans="1:13" ht="15.75" thickTop="1" x14ac:dyDescent="0.25"/>
  </sheetData>
  <mergeCells count="10">
    <mergeCell ref="K1:M1"/>
    <mergeCell ref="H2:J2"/>
    <mergeCell ref="K2:M2"/>
    <mergeCell ref="H3:M3"/>
    <mergeCell ref="A1:C1"/>
    <mergeCell ref="D1:F1"/>
    <mergeCell ref="A2:C2"/>
    <mergeCell ref="D2:F2"/>
    <mergeCell ref="A3:F3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742A-FF3F-472F-A123-DAE10E50E571}">
  <dimension ref="B1:F44"/>
  <sheetViews>
    <sheetView topLeftCell="A13" workbookViewId="0">
      <selection activeCell="H9" sqref="H9"/>
    </sheetView>
  </sheetViews>
  <sheetFormatPr baseColWidth="10" defaultRowHeight="15" x14ac:dyDescent="0.25"/>
  <cols>
    <col min="3" max="3" width="9.28515625" bestFit="1" customWidth="1"/>
    <col min="4" max="4" width="16" customWidth="1"/>
    <col min="6" max="6" width="17.5703125" customWidth="1"/>
  </cols>
  <sheetData>
    <row r="1" spans="2:6" ht="15.75" thickBot="1" x14ac:dyDescent="0.3"/>
    <row r="2" spans="2:6" ht="16.5" thickTop="1" thickBot="1" x14ac:dyDescent="0.3">
      <c r="B2" s="12"/>
      <c r="C2" s="1" t="s">
        <v>12</v>
      </c>
      <c r="D2" s="1"/>
      <c r="E2" s="1" t="s">
        <v>17</v>
      </c>
      <c r="F2" s="1"/>
    </row>
    <row r="3" spans="2:6" ht="16.5" thickTop="1" thickBot="1" x14ac:dyDescent="0.3">
      <c r="B3" s="12"/>
      <c r="C3" s="14" t="s">
        <v>18</v>
      </c>
      <c r="D3" s="14" t="s">
        <v>19</v>
      </c>
      <c r="E3" s="14" t="s">
        <v>20</v>
      </c>
      <c r="F3" s="14" t="s">
        <v>21</v>
      </c>
    </row>
    <row r="4" spans="2:6" ht="16.5" thickTop="1" thickBot="1" x14ac:dyDescent="0.3">
      <c r="B4" s="6">
        <v>1</v>
      </c>
      <c r="C4" s="13">
        <f>[1]I1!F5</f>
        <v>-3000</v>
      </c>
      <c r="D4" s="13">
        <f>[1]I1!M5</f>
        <v>-750</v>
      </c>
      <c r="E4" s="13">
        <f>[1]I2!F5</f>
        <v>0.4</v>
      </c>
      <c r="F4" s="13">
        <f>[1]I2!M5</f>
        <v>0.85</v>
      </c>
    </row>
    <row r="5" spans="2:6" ht="16.5" thickTop="1" thickBot="1" x14ac:dyDescent="0.3">
      <c r="B5" s="6">
        <v>2</v>
      </c>
      <c r="C5" s="13">
        <f>[1]I1!F6</f>
        <v>-5600</v>
      </c>
      <c r="D5" s="13">
        <f>[1]I1!M6</f>
        <v>-3200</v>
      </c>
      <c r="E5" s="13">
        <f>[1]I2!F6</f>
        <v>0.3</v>
      </c>
      <c r="F5" s="13">
        <f>[1]I2!M6</f>
        <v>0.6</v>
      </c>
    </row>
    <row r="6" spans="2:6" ht="16.5" thickTop="1" thickBot="1" x14ac:dyDescent="0.3">
      <c r="B6" s="6">
        <v>3</v>
      </c>
      <c r="C6" s="13">
        <f>[1]I1!F7</f>
        <v>-3960</v>
      </c>
      <c r="D6" s="13">
        <f>[1]I1!M7</f>
        <v>-2700</v>
      </c>
      <c r="E6" s="13">
        <f>[1]I2!F7</f>
        <v>0.56000000000000005</v>
      </c>
      <c r="F6" s="13">
        <f>[1]I2!M7</f>
        <v>0.7</v>
      </c>
    </row>
    <row r="7" spans="2:6" ht="16.5" thickTop="1" thickBot="1" x14ac:dyDescent="0.3">
      <c r="B7" s="6">
        <v>4</v>
      </c>
      <c r="C7" s="13">
        <f>[1]I1!F8</f>
        <v>-2000</v>
      </c>
      <c r="D7" s="13">
        <f>[1]I1!M8</f>
        <v>-1250</v>
      </c>
      <c r="E7" s="13">
        <f>[1]I2!F8</f>
        <v>0.6</v>
      </c>
      <c r="F7" s="13">
        <f>[1]I2!M8</f>
        <v>0.75</v>
      </c>
    </row>
    <row r="8" spans="2:6" ht="16.5" thickTop="1" thickBot="1" x14ac:dyDescent="0.3">
      <c r="B8" s="6">
        <v>5</v>
      </c>
      <c r="C8" s="13">
        <f>[1]I1!F9</f>
        <v>-4000</v>
      </c>
      <c r="D8" s="13">
        <f>[1]I1!M9</f>
        <v>-800</v>
      </c>
      <c r="E8" s="13">
        <f>[1]I2!F9</f>
        <v>0.5</v>
      </c>
      <c r="F8" s="13">
        <f>[1]I2!M9</f>
        <v>0.9</v>
      </c>
    </row>
    <row r="9" spans="2:6" ht="16.5" thickTop="1" thickBot="1" x14ac:dyDescent="0.3">
      <c r="B9" s="6">
        <v>6</v>
      </c>
      <c r="C9" s="13">
        <f>[1]I1!F10</f>
        <v>-2700</v>
      </c>
      <c r="D9" s="13">
        <f>[1]I1!M10</f>
        <v>-1620</v>
      </c>
      <c r="E9" s="13">
        <f>[1]I2!F10</f>
        <v>0.7</v>
      </c>
      <c r="F9" s="13">
        <f>[1]I2!M10</f>
        <v>0.82</v>
      </c>
    </row>
    <row r="10" spans="2:6" ht="16.5" thickTop="1" thickBot="1" x14ac:dyDescent="0.3">
      <c r="B10" s="6">
        <v>7</v>
      </c>
      <c r="C10" s="13">
        <f>[1]I1!F11</f>
        <v>-1000</v>
      </c>
      <c r="D10" s="13">
        <f>[1]I1!M11</f>
        <v>0</v>
      </c>
      <c r="E10" s="13">
        <f>[1]I2!F11</f>
        <v>0.8</v>
      </c>
      <c r="F10" s="13">
        <f>[1]I2!M11</f>
        <v>1</v>
      </c>
    </row>
    <row r="11" spans="2:6" ht="16.5" thickTop="1" thickBot="1" x14ac:dyDescent="0.3">
      <c r="B11" s="6">
        <v>8</v>
      </c>
      <c r="C11" s="13">
        <f>[1]I1!F12</f>
        <v>-3200</v>
      </c>
      <c r="D11" s="13">
        <f>[1]I1!M12</f>
        <v>-1200</v>
      </c>
      <c r="E11" s="13">
        <f>[1]I2!F12</f>
        <v>0.6</v>
      </c>
      <c r="F11" s="13">
        <f>[1]I2!M12</f>
        <v>0.85</v>
      </c>
    </row>
    <row r="12" spans="2:6" ht="16.5" thickTop="1" thickBot="1" x14ac:dyDescent="0.3">
      <c r="B12" s="6">
        <v>9</v>
      </c>
      <c r="C12" s="13">
        <f>[1]I1!F13</f>
        <v>-2250</v>
      </c>
      <c r="D12" s="13">
        <f>[1]I1!M13</f>
        <v>-2250</v>
      </c>
      <c r="E12" s="13">
        <f>[1]I2!F13</f>
        <v>0.75</v>
      </c>
      <c r="F12" s="13">
        <f>[1]I2!M13</f>
        <v>0.75</v>
      </c>
    </row>
    <row r="13" spans="2:6" ht="16.5" thickTop="1" thickBot="1" x14ac:dyDescent="0.3">
      <c r="B13" s="6">
        <v>10</v>
      </c>
      <c r="C13" s="13">
        <f>[1]I1!F14</f>
        <v>-1500</v>
      </c>
      <c r="D13" s="13">
        <f>[1]I1!M14</f>
        <v>-500</v>
      </c>
      <c r="E13" s="13">
        <f>[1]I2!F14</f>
        <v>0.7</v>
      </c>
      <c r="F13" s="13">
        <f>[1]I2!M14</f>
        <v>0.9</v>
      </c>
    </row>
    <row r="14" spans="2:6" ht="16.5" thickTop="1" thickBot="1" x14ac:dyDescent="0.3">
      <c r="B14" s="6">
        <v>11</v>
      </c>
      <c r="C14" s="13">
        <f>[1]I1!F15</f>
        <v>-4400</v>
      </c>
      <c r="D14" s="13">
        <f>[1]I1!M15</f>
        <v>-2400</v>
      </c>
      <c r="E14" s="13">
        <f>[1]I2!F15</f>
        <v>0.45</v>
      </c>
      <c r="F14" s="13">
        <f>[1]I2!M15</f>
        <v>0.7</v>
      </c>
    </row>
    <row r="15" spans="2:6" ht="16.5" thickTop="1" thickBot="1" x14ac:dyDescent="0.3">
      <c r="B15" s="6">
        <v>12</v>
      </c>
      <c r="C15" s="13">
        <f>[1]I1!F16</f>
        <v>-3150</v>
      </c>
      <c r="D15" s="13">
        <f>[1]I1!M16</f>
        <v>-1350</v>
      </c>
      <c r="E15" s="13">
        <f>[1]I2!F16</f>
        <v>0.65</v>
      </c>
      <c r="F15" s="13">
        <f>[1]I2!M16</f>
        <v>0.85</v>
      </c>
    </row>
    <row r="16" spans="2:6" ht="16.5" thickTop="1" thickBot="1" x14ac:dyDescent="0.3">
      <c r="B16" s="6">
        <v>13</v>
      </c>
      <c r="C16" s="13">
        <f>[1]I1!F17</f>
        <v>-1750</v>
      </c>
      <c r="D16" s="13">
        <f>[1]I1!M17</f>
        <v>-1000</v>
      </c>
      <c r="E16" s="13">
        <f>[1]I2!F17</f>
        <v>0.65</v>
      </c>
      <c r="F16" s="13">
        <f>[1]I2!M17</f>
        <v>0.8</v>
      </c>
    </row>
    <row r="17" spans="2:6" ht="16.5" thickTop="1" thickBot="1" x14ac:dyDescent="0.3">
      <c r="B17" s="6">
        <v>14</v>
      </c>
      <c r="C17" s="13">
        <f>[1]I1!F18</f>
        <v>-2400</v>
      </c>
      <c r="D17" s="13">
        <f>[1]I1!M18</f>
        <v>-800</v>
      </c>
      <c r="E17" s="13">
        <f>[1]I2!F18</f>
        <v>0.7</v>
      </c>
      <c r="F17" s="13">
        <f>[1]I2!M18</f>
        <v>0.9</v>
      </c>
    </row>
    <row r="18" spans="2:6" ht="16.5" thickTop="1" thickBot="1" x14ac:dyDescent="0.3">
      <c r="B18" s="6">
        <v>15</v>
      </c>
      <c r="C18" s="13">
        <f>[1]I1!F19</f>
        <v>-3600</v>
      </c>
      <c r="D18" s="13">
        <f>[1]I1!M19</f>
        <v>-2520</v>
      </c>
      <c r="E18" s="13">
        <f>[1]I2!F19</f>
        <v>0.6</v>
      </c>
      <c r="F18" s="13">
        <f>[1]I2!M19</f>
        <v>0.72</v>
      </c>
    </row>
    <row r="19" spans="2:6" ht="16.5" thickTop="1" thickBot="1" x14ac:dyDescent="0.3">
      <c r="B19" s="6">
        <v>16</v>
      </c>
      <c r="C19" s="13">
        <f>[1]I1!F20</f>
        <v>500</v>
      </c>
      <c r="D19" s="13">
        <f>[1]I1!M20</f>
        <v>750</v>
      </c>
      <c r="E19" s="13">
        <f>[1]I2!F20</f>
        <v>1.1000000000000001</v>
      </c>
      <c r="F19" s="13">
        <f>[1]I2!M20</f>
        <v>1.1499999999999999</v>
      </c>
    </row>
    <row r="20" spans="2:6" ht="16.5" thickTop="1" thickBot="1" x14ac:dyDescent="0.3">
      <c r="B20" s="6">
        <v>17</v>
      </c>
      <c r="C20" s="13">
        <f>[1]I1!F21</f>
        <v>-4400</v>
      </c>
      <c r="D20" s="13">
        <f>[1]I1!M21</f>
        <v>-3200</v>
      </c>
      <c r="E20" s="13">
        <f>[1]I2!F21</f>
        <v>0.45</v>
      </c>
      <c r="F20" s="13">
        <f>[1]I2!M21</f>
        <v>0.6</v>
      </c>
    </row>
    <row r="21" spans="2:6" ht="16.5" thickTop="1" thickBot="1" x14ac:dyDescent="0.3">
      <c r="B21" s="6">
        <v>18</v>
      </c>
      <c r="C21" s="13">
        <f>[1]I1!F22</f>
        <v>-2700</v>
      </c>
      <c r="D21" s="13">
        <f>[1]I1!M22</f>
        <v>-900</v>
      </c>
      <c r="E21" s="13">
        <f>[1]I2!F22</f>
        <v>0.7</v>
      </c>
      <c r="F21" s="13">
        <f>[1]I2!M22</f>
        <v>0.9</v>
      </c>
    </row>
    <row r="22" spans="2:6" ht="16.5" thickTop="1" thickBot="1" x14ac:dyDescent="0.3">
      <c r="B22" s="6">
        <v>19</v>
      </c>
      <c r="C22" s="13">
        <f>[1]I1!F23</f>
        <v>-500</v>
      </c>
      <c r="D22" s="13">
        <f>[1]I1!M23</f>
        <v>500</v>
      </c>
      <c r="E22" s="13">
        <f>[1]I2!F23</f>
        <v>0.9</v>
      </c>
      <c r="F22" s="13">
        <f>[1]I2!M23</f>
        <v>1.1000000000000001</v>
      </c>
    </row>
    <row r="23" spans="2:6" ht="16.5" thickTop="1" thickBot="1" x14ac:dyDescent="0.3">
      <c r="B23" s="6">
        <v>20</v>
      </c>
      <c r="C23" s="13">
        <f>[1]I1!F24</f>
        <v>-3200</v>
      </c>
      <c r="D23" s="13">
        <f>[1]I1!M24</f>
        <v>-1600</v>
      </c>
      <c r="E23" s="13">
        <f>[1]I2!F24</f>
        <v>0.6</v>
      </c>
      <c r="F23" s="13">
        <f>[1]I2!M24</f>
        <v>0.8</v>
      </c>
    </row>
    <row r="24" spans="2:6" ht="16.5" thickTop="1" thickBot="1" x14ac:dyDescent="0.3">
      <c r="B24" s="6">
        <v>21</v>
      </c>
      <c r="C24" s="13">
        <f>[1]I1!F25</f>
        <v>0</v>
      </c>
      <c r="D24" s="13">
        <f>[1]I1!M25</f>
        <v>900</v>
      </c>
      <c r="E24" s="13">
        <f>[1]I2!F25</f>
        <v>1</v>
      </c>
      <c r="F24" s="13">
        <f>[1]I2!M25</f>
        <v>1.1000000000000001</v>
      </c>
    </row>
    <row r="25" spans="2:6" ht="16.5" thickTop="1" thickBot="1" x14ac:dyDescent="0.3">
      <c r="B25" s="6">
        <v>22</v>
      </c>
      <c r="C25" s="13">
        <f>[1]I1!F26</f>
        <v>-1500</v>
      </c>
      <c r="D25" s="13">
        <f>[1]I1!M26</f>
        <v>-900</v>
      </c>
      <c r="E25" s="13">
        <f>[1]I2!F26</f>
        <v>0.7</v>
      </c>
      <c r="F25" s="13">
        <f>[1]I2!M26</f>
        <v>0.82</v>
      </c>
    </row>
    <row r="26" spans="2:6" ht="16.5" thickTop="1" thickBot="1" x14ac:dyDescent="0.3">
      <c r="B26" s="6">
        <v>23</v>
      </c>
      <c r="C26" s="13">
        <f>[1]I1!F27</f>
        <v>0</v>
      </c>
      <c r="D26" s="13">
        <f>[1]I1!M27</f>
        <v>1600</v>
      </c>
      <c r="E26" s="13">
        <f>[1]I2!F27</f>
        <v>1</v>
      </c>
      <c r="F26" s="13">
        <f>[1]I2!M27</f>
        <v>1.2</v>
      </c>
    </row>
    <row r="27" spans="2:6" ht="16.5" thickTop="1" thickBot="1" x14ac:dyDescent="0.3">
      <c r="B27" s="6">
        <v>24</v>
      </c>
      <c r="C27" s="13">
        <f>[1]I1!F28</f>
        <v>-3600</v>
      </c>
      <c r="D27" s="13">
        <f>[1]I1!M28</f>
        <v>-1800</v>
      </c>
      <c r="E27" s="13">
        <f>[1]I2!F28</f>
        <v>0.6</v>
      </c>
      <c r="F27" s="13">
        <f>[1]I2!M28</f>
        <v>0.8</v>
      </c>
    </row>
    <row r="28" spans="2:6" ht="16.5" thickTop="1" thickBot="1" x14ac:dyDescent="0.3">
      <c r="B28" s="6">
        <v>25</v>
      </c>
      <c r="C28" s="13">
        <f>[1]I1!F29</f>
        <v>-1000</v>
      </c>
      <c r="D28" s="13">
        <f>[1]I1!M29</f>
        <v>-500</v>
      </c>
      <c r="E28" s="13">
        <f>[1]I2!F29</f>
        <v>0.8</v>
      </c>
      <c r="F28" s="13">
        <f>[1]I2!M29</f>
        <v>0.9</v>
      </c>
    </row>
    <row r="29" spans="2:6" ht="16.5" thickTop="1" thickBot="1" x14ac:dyDescent="0.3">
      <c r="B29" s="6">
        <v>26</v>
      </c>
      <c r="C29" s="13">
        <f>[1]I1!F30</f>
        <v>-4800</v>
      </c>
      <c r="D29" s="13">
        <f>[1]I1!M30</f>
        <v>-2800</v>
      </c>
      <c r="E29" s="13">
        <f>[1]I2!F30</f>
        <v>0.4</v>
      </c>
      <c r="F29" s="13">
        <f>[1]I2!M30</f>
        <v>0.65</v>
      </c>
    </row>
    <row r="30" spans="2:6" ht="16.5" thickTop="1" thickBot="1" x14ac:dyDescent="0.3">
      <c r="B30" s="6">
        <v>27</v>
      </c>
      <c r="C30" s="13">
        <f>[1]I1!F31</f>
        <v>-5400</v>
      </c>
      <c r="D30" s="13">
        <f>[1]I1!M31</f>
        <v>-3150</v>
      </c>
      <c r="E30" s="13">
        <f>[1]I2!F31</f>
        <v>0.4</v>
      </c>
      <c r="F30" s="13">
        <f>[1]I2!M31</f>
        <v>0.65</v>
      </c>
    </row>
    <row r="31" spans="2:6" ht="16.5" thickTop="1" thickBot="1" x14ac:dyDescent="0.3">
      <c r="B31" s="6">
        <v>28</v>
      </c>
      <c r="C31" s="13">
        <f>[1]I1!F32</f>
        <v>-2000</v>
      </c>
      <c r="D31" s="13">
        <f>[1]I1!M32</f>
        <v>-1000</v>
      </c>
      <c r="E31" s="13">
        <f>[1]I2!F32</f>
        <v>0.6</v>
      </c>
      <c r="F31" s="13">
        <f>[1]I2!M32</f>
        <v>0.8</v>
      </c>
    </row>
    <row r="32" spans="2:6" ht="16.5" thickTop="1" thickBot="1" x14ac:dyDescent="0.3">
      <c r="B32" s="6">
        <v>29</v>
      </c>
      <c r="C32" s="13">
        <f>[1]I1!F33</f>
        <v>-800</v>
      </c>
      <c r="D32" s="13">
        <f>[1]I1!M33</f>
        <v>800</v>
      </c>
      <c r="E32" s="13">
        <f>[1]I2!F33</f>
        <v>0.9</v>
      </c>
      <c r="F32" s="13">
        <f>[1]I2!M33</f>
        <v>1.1000000000000001</v>
      </c>
    </row>
    <row r="33" spans="2:6" ht="16.5" thickTop="1" thickBot="1" x14ac:dyDescent="0.3">
      <c r="B33" s="6">
        <v>30</v>
      </c>
      <c r="C33" s="13">
        <f>[1]I1!F34</f>
        <v>-3600</v>
      </c>
      <c r="D33" s="13">
        <f>[1]I1!M34</f>
        <v>-2700</v>
      </c>
      <c r="E33" s="13">
        <f>[1]I2!F34</f>
        <v>0.6</v>
      </c>
      <c r="F33" s="13">
        <f>[1]I2!M34</f>
        <v>0.7</v>
      </c>
    </row>
    <row r="34" spans="2:6" ht="16.5" thickTop="1" thickBot="1" x14ac:dyDescent="0.3">
      <c r="B34" s="6">
        <v>31</v>
      </c>
      <c r="C34" s="13">
        <f>[1]I1!F35</f>
        <v>-4000</v>
      </c>
      <c r="D34" s="13">
        <f>[1]I1!M35</f>
        <v>-2500</v>
      </c>
      <c r="E34" s="13">
        <f>[1]I2!F35</f>
        <v>0.2</v>
      </c>
      <c r="F34" s="13">
        <f>[1]I2!M35</f>
        <v>0.5</v>
      </c>
    </row>
    <row r="35" spans="2:6" ht="16.5" thickTop="1" thickBot="1" x14ac:dyDescent="0.3">
      <c r="B35" s="6">
        <v>32</v>
      </c>
      <c r="C35" s="13">
        <f>[1]I1!F36</f>
        <v>-5600</v>
      </c>
      <c r="D35" s="13">
        <f>[1]I1!M36</f>
        <v>-3200</v>
      </c>
      <c r="E35" s="13">
        <f>[1]I2!F36</f>
        <v>0.3</v>
      </c>
      <c r="F35" s="13">
        <f>[1]I2!M36</f>
        <v>0.6</v>
      </c>
    </row>
    <row r="36" spans="2:6" ht="16.5" thickTop="1" thickBot="1" x14ac:dyDescent="0.3">
      <c r="B36" s="6">
        <v>33</v>
      </c>
      <c r="C36" s="13">
        <f>[1]I1!F37</f>
        <v>-7200</v>
      </c>
      <c r="D36" s="13">
        <f>[1]I1!M37</f>
        <v>-3600</v>
      </c>
      <c r="E36" s="13">
        <f>[1]I2!F37</f>
        <v>0.2</v>
      </c>
      <c r="F36" s="13">
        <f>[1]I2!M37</f>
        <v>0.6</v>
      </c>
    </row>
    <row r="37" spans="2:6" ht="16.5" thickTop="1" thickBot="1" x14ac:dyDescent="0.3">
      <c r="B37" s="6">
        <v>34</v>
      </c>
      <c r="C37" s="13">
        <f>[1]I1!F38</f>
        <v>0</v>
      </c>
      <c r="D37" s="13">
        <f>[1]I1!M38</f>
        <v>1000</v>
      </c>
      <c r="E37" s="13">
        <f>[1]I2!F38</f>
        <v>1</v>
      </c>
      <c r="F37" s="13">
        <f>[1]I2!M38</f>
        <v>1.2</v>
      </c>
    </row>
    <row r="38" spans="2:6" ht="16.5" thickTop="1" thickBot="1" x14ac:dyDescent="0.3">
      <c r="B38" s="6">
        <v>35</v>
      </c>
      <c r="C38" s="13">
        <f>[1]I1!F39</f>
        <v>-2400</v>
      </c>
      <c r="D38" s="13">
        <f>[1]I1!M39</f>
        <v>-800</v>
      </c>
      <c r="E38" s="13">
        <f>[1]I2!F39</f>
        <v>0.7</v>
      </c>
      <c r="F38" s="13">
        <f>[1]I2!M39</f>
        <v>0.9</v>
      </c>
    </row>
    <row r="39" spans="2:6" ht="16.5" thickTop="1" thickBot="1" x14ac:dyDescent="0.3">
      <c r="B39" s="6">
        <v>36</v>
      </c>
      <c r="C39" s="13">
        <f>[1]I1!F40</f>
        <v>-900</v>
      </c>
      <c r="D39" s="13">
        <f>[1]I1!M40</f>
        <v>0</v>
      </c>
      <c r="E39" s="13">
        <f>[1]I2!F40</f>
        <v>0.9</v>
      </c>
      <c r="F39" s="13">
        <f>[1]I2!M40</f>
        <v>1</v>
      </c>
    </row>
    <row r="40" spans="2:6" ht="16.5" thickTop="1" thickBot="1" x14ac:dyDescent="0.3">
      <c r="B40" s="6">
        <v>37</v>
      </c>
      <c r="C40" s="13">
        <f>[1]I1!F41</f>
        <v>-3000</v>
      </c>
      <c r="D40" s="13">
        <f>[1]I1!M41</f>
        <v>-1750</v>
      </c>
      <c r="E40" s="13">
        <f>[1]I2!F41</f>
        <v>0.4</v>
      </c>
      <c r="F40" s="13">
        <f>[1]I2!M41</f>
        <v>0.65</v>
      </c>
    </row>
    <row r="41" spans="2:6" ht="16.5" thickTop="1" thickBot="1" x14ac:dyDescent="0.3">
      <c r="B41" s="6">
        <v>38</v>
      </c>
      <c r="C41" s="13">
        <f>[1]I1!F42</f>
        <v>-3360</v>
      </c>
      <c r="D41" s="13">
        <f>[1]I1!M42</f>
        <v>-2400</v>
      </c>
      <c r="E41" s="13">
        <f>[1]I2!F42</f>
        <v>0.57999999999999996</v>
      </c>
      <c r="F41" s="13">
        <f>[1]I2!M42</f>
        <v>0.7</v>
      </c>
    </row>
    <row r="42" spans="2:6" ht="16.5" thickTop="1" thickBot="1" x14ac:dyDescent="0.3">
      <c r="B42" s="6">
        <v>39</v>
      </c>
      <c r="C42" s="13">
        <f>[1]I1!F43</f>
        <v>-3240</v>
      </c>
      <c r="D42" s="13">
        <f>[1]I1!M43</f>
        <v>-1800</v>
      </c>
      <c r="E42" s="13">
        <f>[1]I2!F43</f>
        <v>0.64</v>
      </c>
      <c r="F42" s="13">
        <f>[1]I2!M43</f>
        <v>0.8</v>
      </c>
    </row>
    <row r="43" spans="2:6" ht="16.5" thickTop="1" thickBot="1" x14ac:dyDescent="0.3">
      <c r="B43" s="6">
        <v>40</v>
      </c>
      <c r="C43" s="13">
        <f>[1]I1!F44</f>
        <v>-3500</v>
      </c>
      <c r="D43" s="13">
        <f>[1]I1!M44</f>
        <v>-2500</v>
      </c>
      <c r="E43" s="13">
        <f>[1]I2!F44</f>
        <v>0.3</v>
      </c>
      <c r="F43" s="13">
        <f>[1]I2!M44</f>
        <v>0.5</v>
      </c>
    </row>
    <row r="44" spans="2:6" ht="15.75" thickTop="1" x14ac:dyDescent="0.25"/>
  </sheetData>
  <mergeCells count="2"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I1</vt:lpstr>
      <vt:lpstr>I2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2023-10-12T19:05:48Z</dcterms:created>
  <dcterms:modified xsi:type="dcterms:W3CDTF">2023-10-12T19:08:36Z</dcterms:modified>
</cp:coreProperties>
</file>